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<sst xmlns="http://schemas.openxmlformats.org/spreadsheetml/2006/main" count="37" uniqueCount="37">
  <si>
    <t>Days/week</t>
  </si>
  <si>
    <t>Efforts/Day</t>
  </si>
  <si>
    <t>Calculated Value</t>
  </si>
  <si>
    <t>Track</t>
  </si>
  <si>
    <t>A. Training Hours</t>
  </si>
  <si>
    <t>B. Hands-on (50% of  A)</t>
  </si>
  <si>
    <t>C. Faculty Intervention (20% of A)</t>
  </si>
  <si>
    <t>D. Capstone</t>
  </si>
  <si>
    <t>E. Assessment</t>
  </si>
  <si>
    <t>Total (Hrs)</t>
  </si>
  <si>
    <t>Weeks</t>
  </si>
  <si>
    <t>Buffer Weeks</t>
  </si>
  <si>
    <t>Total (Weeks)</t>
  </si>
  <si>
    <t>Phase2: Java Track</t>
  </si>
  <si>
    <t>Phase-3: Project-Specific 
(on-the-job)</t>
  </si>
  <si>
    <t>Additional modules requied for specific projects + On-the-job live project environment+Mentoring</t>
  </si>
  <si>
    <t>Phase-2: Specialization Track</t>
  </si>
  <si>
    <t>Module</t>
  </si>
  <si>
    <t>Duration</t>
  </si>
  <si>
    <t>Hands-on (Hrs)</t>
  </si>
  <si>
    <t>Faculty Intervention (hrs)</t>
  </si>
  <si>
    <t>Capstone Project</t>
  </si>
  <si>
    <t>Integrated Project</t>
  </si>
  <si>
    <t>Development</t>
  </si>
  <si>
    <t>Core Java</t>
  </si>
  <si>
    <t>Junit</t>
  </si>
  <si>
    <t>Java Web Development</t>
  </si>
  <si>
    <t>Maven</t>
  </si>
  <si>
    <t>Spring Framework</t>
  </si>
  <si>
    <t>JPA with Hibernate</t>
  </si>
  <si>
    <t>Spring Boot Web Services</t>
  </si>
  <si>
    <t>Microservices Architecture</t>
  </si>
  <si>
    <t>DevOps-CI/CD</t>
  </si>
  <si>
    <t>GIT</t>
  </si>
  <si>
    <t>Jenkins</t>
  </si>
  <si>
    <t>Docker</t>
  </si>
  <si>
    <t>Java DevOps/CICD Pipeline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</si>
</sst>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_ &quot;₹&quot;* #,##0_ ;_ &quot;₹&quot;* \-#,##0_ ;_ &quot;₹&quot;* &quot;-&quot;_ ;_ @_ "/>
    <numFmt numFmtId="178" formatCode="_ &quot;₹&quot;* #,##0.00_ ;_ &quot;₹&quot;* \-#,##0.00_ ;_ &quot;₹&quot;* &quot;-&quot;??_ ;_ @_ "/>
    <numFmt numFmtId="179" formatCode="0.0"/>
    <numFmt numFmtId="180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2"/>
      <color theme="10"/>
      <name val="Calibri"/>
      <charset val="134"/>
      <scheme val="minor"/>
    </font>
    <font>
      <sz val="12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5" fillId="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5" borderId="5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0" fillId="16" borderId="8" applyNumberFormat="0" applyFon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22" borderId="10" applyNumberForma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1" fillId="18" borderId="11" applyNumberForma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wrapText="1"/>
    </xf>
    <xf numFmtId="0" fontId="2" fillId="0" borderId="1" xfId="0" applyFont="1" applyFill="1" applyBorder="1" applyAlignment="1"/>
    <xf numFmtId="0" fontId="1" fillId="0" borderId="1" xfId="0" applyFont="1" applyFill="1" applyBorder="1" applyAlignment="1"/>
    <xf numFmtId="0" fontId="1" fillId="2" borderId="0" xfId="0" applyFont="1" applyFill="1" applyAlignment="1"/>
    <xf numFmtId="0" fontId="1" fillId="2" borderId="1" xfId="0" applyFont="1" applyFill="1" applyBorder="1" applyAlignment="1"/>
    <xf numFmtId="179" fontId="1" fillId="2" borderId="1" xfId="0" applyNumberFormat="1" applyFont="1" applyFill="1" applyBorder="1" applyAlignment="1"/>
    <xf numFmtId="0" fontId="2" fillId="0" borderId="0" xfId="0" applyFont="1" applyFill="1" applyAlignment="1"/>
    <xf numFmtId="179" fontId="1" fillId="0" borderId="0" xfId="0" applyNumberFormat="1" applyFont="1" applyFill="1" applyAlignment="1"/>
    <xf numFmtId="0" fontId="2" fillId="0" borderId="1" xfId="0" applyFont="1" applyFill="1" applyBorder="1" applyAlignment="1">
      <alignment wrapText="1"/>
    </xf>
    <xf numFmtId="0" fontId="1" fillId="0" borderId="0" xfId="0" applyFont="1" applyFill="1" applyAlignment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3" fillId="0" borderId="1" xfId="7" applyFont="1" applyFill="1" applyBorder="1"/>
    <xf numFmtId="0" fontId="4" fillId="0" borderId="1" xfId="7" applyFont="1" applyBorder="1"/>
    <xf numFmtId="0" fontId="3" fillId="0" borderId="0" xfId="7" applyFont="1" applyFill="1" applyBorder="1"/>
    <xf numFmtId="0" fontId="2" fillId="0" borderId="3" xfId="0" applyFont="1" applyFill="1" applyBorder="1" applyAlignment="1">
      <alignment horizontal="center" vertical="center" wrapText="1"/>
    </xf>
    <xf numFmtId="0" fontId="3" fillId="0" borderId="0" xfId="7" applyFont="1" applyBorder="1"/>
    <xf numFmtId="0" fontId="2" fillId="0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7" applyFont="1" applyBorder="1"/>
    <xf numFmtId="0" fontId="2" fillId="0" borderId="0" xfId="0" applyFont="1" applyFill="1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tm.udemy.com/course/hibernate-jpa-tutorial-for-beginners-in-100-steps/" TargetMode="External"/><Relationship Id="rId8" Type="http://schemas.openxmlformats.org/officeDocument/2006/relationships/hyperlink" Target="https://tm.udemy.com/course/spring-tutorial-for-beginners/" TargetMode="External"/><Relationship Id="rId7" Type="http://schemas.openxmlformats.org/officeDocument/2006/relationships/hyperlink" Target="https://tm.udemy.com/course/jdbcservletsandjsp/" TargetMode="External"/><Relationship Id="rId6" Type="http://schemas.openxmlformats.org/officeDocument/2006/relationships/hyperlink" Target="https://tm.udemy.com/course/valaxy-devops/" TargetMode="External"/><Relationship Id="rId5" Type="http://schemas.openxmlformats.org/officeDocument/2006/relationships/hyperlink" Target="https://tm.udemy.com/docker-tutorial-for-devops-run-docker-containers/" TargetMode="External"/><Relationship Id="rId4" Type="http://schemas.openxmlformats.org/officeDocument/2006/relationships/hyperlink" Target="https://tm.udemy.com/devops-and-continuous-integration-with-jenkins-pipelines/" TargetMode="External"/><Relationship Id="rId3" Type="http://schemas.openxmlformats.org/officeDocument/2006/relationships/hyperlink" Target="https://tm.udemy.com/git-complete/" TargetMode="External"/><Relationship Id="rId2" Type="http://schemas.openxmlformats.org/officeDocument/2006/relationships/hyperlink" Target="https://tm.udemy.com/mockito-tutorial-with-junit-examples/" TargetMode="External"/><Relationship Id="rId12" Type="http://schemas.openxmlformats.org/officeDocument/2006/relationships/hyperlink" Target="https://tm.udemy.com/course/microservices-architecture-the-complete-guide/" TargetMode="External"/><Relationship Id="rId11" Type="http://schemas.openxmlformats.org/officeDocument/2006/relationships/hyperlink" Target="https://tm.udemy.com/course/mavencrashcourse/" TargetMode="External"/><Relationship Id="rId10" Type="http://schemas.openxmlformats.org/officeDocument/2006/relationships/hyperlink" Target="https://tm.udemy.com/course/spring-web-services-tutorial/" TargetMode="External"/><Relationship Id="rId1" Type="http://schemas.openxmlformats.org/officeDocument/2006/relationships/hyperlink" Target="https://tm.udemy.com/master-practical-java-developmen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tabSelected="1" workbookViewId="0">
      <selection activeCell="A1" sqref="$A1:$XFD1048576"/>
    </sheetView>
  </sheetViews>
  <sheetFormatPr defaultColWidth="10.2857142857143" defaultRowHeight="15.75"/>
  <cols>
    <col min="1" max="1" width="29.4285714285714" style="2" customWidth="1"/>
    <col min="2" max="2" width="26.5714285714286" style="1" customWidth="1"/>
    <col min="3" max="3" width="11.5714285714286" style="1" customWidth="1"/>
    <col min="4" max="4" width="20.5714285714286" style="1" customWidth="1"/>
    <col min="5" max="5" width="26.2857142857143" style="1" customWidth="1"/>
    <col min="6" max="6" width="10.2857142857143" style="1"/>
    <col min="7" max="7" width="14.4285714285714" style="1" customWidth="1"/>
    <col min="8" max="8" width="17" style="1" customWidth="1"/>
    <col min="9" max="9" width="14.4285714285714" style="1" customWidth="1"/>
    <col min="10" max="10" width="15.4285714285714" style="1" customWidth="1"/>
    <col min="11" max="11" width="9.71428571428571" style="1" customWidth="1"/>
    <col min="12" max="16384" width="10.2857142857143" style="1"/>
  </cols>
  <sheetData>
    <row r="1" s="1" customFormat="1" spans="1:6">
      <c r="A1" s="3" t="s">
        <v>0</v>
      </c>
      <c r="B1" s="4">
        <v>6</v>
      </c>
      <c r="C1" s="3" t="s">
        <v>1</v>
      </c>
      <c r="D1" s="4">
        <v>8</v>
      </c>
      <c r="E1" s="1"/>
      <c r="F1" s="5" t="s">
        <v>2</v>
      </c>
    </row>
    <row r="2" s="1" customFormat="1"/>
    <row r="3" s="1" customFormat="1" spans="1:10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</row>
    <row r="4" s="1" customFormat="1" spans="1:10">
      <c r="A4" s="3" t="s">
        <v>13</v>
      </c>
      <c r="B4" s="6">
        <f>SUM(C9:C20)</f>
        <v>94</v>
      </c>
      <c r="C4" s="6">
        <f>B4/2</f>
        <v>47</v>
      </c>
      <c r="D4" s="6">
        <f>B4*0.2</f>
        <v>18.8</v>
      </c>
      <c r="E4" s="6">
        <f>C8</f>
        <v>80</v>
      </c>
      <c r="F4" s="6">
        <v>8</v>
      </c>
      <c r="G4" s="6">
        <f>SUM(B4:F4)</f>
        <v>247.8</v>
      </c>
      <c r="H4" s="7">
        <f>(G4/$D$1)/$B$1</f>
        <v>5.1625</v>
      </c>
      <c r="I4" s="7">
        <v>1</v>
      </c>
      <c r="J4" s="7">
        <f>SUM(H4:I4)</f>
        <v>6.1625</v>
      </c>
    </row>
    <row r="5" s="1" customFormat="1" spans="1:7">
      <c r="A5" s="2"/>
      <c r="B5" s="8"/>
      <c r="C5" s="1"/>
      <c r="D5" s="1"/>
      <c r="E5" s="1"/>
      <c r="F5" s="1"/>
      <c r="G5" s="9"/>
    </row>
    <row r="6" s="1" customFormat="1" ht="31.5" spans="1:11">
      <c r="A6" s="10" t="s">
        <v>14</v>
      </c>
      <c r="B6" s="11" t="s">
        <v>15</v>
      </c>
      <c r="C6" s="11"/>
      <c r="D6" s="11"/>
      <c r="E6" s="11"/>
      <c r="F6" s="11"/>
      <c r="G6" s="11"/>
      <c r="H6" s="11"/>
      <c r="I6" s="11"/>
      <c r="J6" s="11"/>
      <c r="K6" s="11"/>
    </row>
    <row r="7" s="1" customFormat="1" spans="1:11">
      <c r="A7" s="10" t="s">
        <v>16</v>
      </c>
      <c r="B7" s="3" t="s">
        <v>17</v>
      </c>
      <c r="C7" s="3" t="s">
        <v>18</v>
      </c>
      <c r="D7" s="3" t="s">
        <v>19</v>
      </c>
      <c r="E7" s="3" t="s">
        <v>20</v>
      </c>
      <c r="F7" s="8"/>
      <c r="G7" s="8"/>
      <c r="H7" s="8"/>
      <c r="I7" s="8"/>
      <c r="J7" s="8"/>
      <c r="K7" s="8"/>
    </row>
    <row r="8" s="1" customFormat="1" spans="1:5">
      <c r="A8" s="10" t="s">
        <v>21</v>
      </c>
      <c r="B8" s="4" t="s">
        <v>22</v>
      </c>
      <c r="C8" s="4">
        <v>80</v>
      </c>
      <c r="D8" s="4"/>
      <c r="E8" s="4"/>
    </row>
    <row r="9" s="1" customFormat="1" spans="1:10">
      <c r="A9" s="12" t="s">
        <v>23</v>
      </c>
      <c r="B9" s="13" t="s">
        <v>24</v>
      </c>
      <c r="C9" s="4">
        <v>17.5</v>
      </c>
      <c r="D9" s="14">
        <f t="shared" ref="D9:D20" si="0">C9*0.5</f>
        <v>8.75</v>
      </c>
      <c r="E9" s="4">
        <f t="shared" ref="E9:E20" si="1">C9*0.2</f>
        <v>3.5</v>
      </c>
      <c r="F9" s="15"/>
      <c r="G9" s="1"/>
      <c r="H9" s="15"/>
      <c r="I9" s="1"/>
      <c r="J9" s="15"/>
    </row>
    <row r="10" s="1" customFormat="1" spans="1:10">
      <c r="A10" s="16"/>
      <c r="B10" s="13" t="s">
        <v>25</v>
      </c>
      <c r="C10" s="4">
        <v>4.5</v>
      </c>
      <c r="D10" s="14">
        <f t="shared" si="0"/>
        <v>2.25</v>
      </c>
      <c r="E10" s="4">
        <f t="shared" si="1"/>
        <v>0.9</v>
      </c>
      <c r="F10" s="17"/>
      <c r="G10" s="1"/>
      <c r="H10" s="15"/>
      <c r="I10" s="1"/>
      <c r="J10" s="17"/>
    </row>
    <row r="11" s="1" customFormat="1" spans="1:10">
      <c r="A11" s="16"/>
      <c r="B11" s="13" t="s">
        <v>26</v>
      </c>
      <c r="C11" s="4">
        <v>9</v>
      </c>
      <c r="D11" s="14">
        <f t="shared" si="0"/>
        <v>4.5</v>
      </c>
      <c r="E11" s="4">
        <f t="shared" si="1"/>
        <v>1.8</v>
      </c>
      <c r="F11" s="17"/>
      <c r="G11" s="1"/>
      <c r="H11" s="15"/>
      <c r="I11" s="1"/>
      <c r="J11" s="17"/>
    </row>
    <row r="12" s="1" customFormat="1" spans="1:10">
      <c r="A12" s="16"/>
      <c r="B12" s="13" t="s">
        <v>27</v>
      </c>
      <c r="C12" s="4">
        <v>5.5</v>
      </c>
      <c r="D12" s="14">
        <f t="shared" si="0"/>
        <v>2.75</v>
      </c>
      <c r="E12" s="4">
        <f t="shared" si="1"/>
        <v>1.1</v>
      </c>
      <c r="F12" s="17"/>
      <c r="G12" s="1"/>
      <c r="H12" s="15"/>
      <c r="I12" s="1"/>
      <c r="J12" s="17"/>
    </row>
    <row r="13" s="1" customFormat="1" spans="1:10">
      <c r="A13" s="16"/>
      <c r="B13" s="13" t="s">
        <v>28</v>
      </c>
      <c r="C13" s="4">
        <v>13</v>
      </c>
      <c r="D13" s="14">
        <f t="shared" si="0"/>
        <v>6.5</v>
      </c>
      <c r="E13" s="4">
        <f t="shared" si="1"/>
        <v>2.6</v>
      </c>
      <c r="F13" s="17"/>
      <c r="G13" s="1"/>
      <c r="H13" s="15"/>
      <c r="I13" s="1"/>
      <c r="J13" s="15"/>
    </row>
    <row r="14" s="1" customFormat="1" spans="1:10">
      <c r="A14" s="16"/>
      <c r="B14" s="13" t="s">
        <v>29</v>
      </c>
      <c r="C14" s="4">
        <v>12</v>
      </c>
      <c r="D14" s="14">
        <f t="shared" si="0"/>
        <v>6</v>
      </c>
      <c r="E14" s="4">
        <f t="shared" si="1"/>
        <v>2.4</v>
      </c>
      <c r="F14" s="17"/>
      <c r="G14" s="1"/>
      <c r="H14" s="15"/>
      <c r="I14" s="1"/>
      <c r="J14" s="17"/>
    </row>
    <row r="15" s="1" customFormat="1" spans="1:10">
      <c r="A15" s="16"/>
      <c r="B15" s="13" t="s">
        <v>30</v>
      </c>
      <c r="C15" s="4">
        <v>9.5</v>
      </c>
      <c r="D15" s="14">
        <f t="shared" si="0"/>
        <v>4.75</v>
      </c>
      <c r="E15" s="4">
        <f t="shared" si="1"/>
        <v>1.9</v>
      </c>
      <c r="H15" s="15"/>
      <c r="I15" s="1"/>
      <c r="J15" s="17"/>
    </row>
    <row r="16" s="1" customFormat="1" spans="1:10">
      <c r="A16" s="18"/>
      <c r="B16" s="13" t="s">
        <v>31</v>
      </c>
      <c r="C16" s="4">
        <v>5</v>
      </c>
      <c r="D16" s="14">
        <f t="shared" si="0"/>
        <v>2.5</v>
      </c>
      <c r="E16" s="4">
        <f t="shared" si="1"/>
        <v>1</v>
      </c>
      <c r="H16" s="15"/>
      <c r="I16" s="1"/>
      <c r="J16" s="17"/>
    </row>
    <row r="17" s="1" customFormat="1" spans="1:10">
      <c r="A17" s="19" t="s">
        <v>32</v>
      </c>
      <c r="B17" s="20" t="s">
        <v>33</v>
      </c>
      <c r="C17" s="4">
        <v>6</v>
      </c>
      <c r="D17" s="14">
        <f t="shared" si="0"/>
        <v>3</v>
      </c>
      <c r="E17" s="4">
        <f t="shared" si="1"/>
        <v>1.2</v>
      </c>
      <c r="F17" s="15"/>
      <c r="G17" s="1"/>
      <c r="H17" s="17"/>
      <c r="I17" s="1"/>
      <c r="J17" s="17"/>
    </row>
    <row r="18" s="1" customFormat="1" spans="1:10">
      <c r="A18" s="19"/>
      <c r="B18" s="20" t="s">
        <v>34</v>
      </c>
      <c r="C18" s="4">
        <v>3.5</v>
      </c>
      <c r="D18" s="14">
        <f t="shared" si="0"/>
        <v>1.75</v>
      </c>
      <c r="E18" s="4">
        <f t="shared" si="1"/>
        <v>0.7</v>
      </c>
      <c r="F18" s="17"/>
      <c r="G18" s="1"/>
      <c r="H18" s="17"/>
      <c r="I18" s="1"/>
      <c r="J18" s="17"/>
    </row>
    <row r="19" s="1" customFormat="1" spans="1:10">
      <c r="A19" s="19"/>
      <c r="B19" s="20" t="s">
        <v>35</v>
      </c>
      <c r="C19" s="4">
        <v>3</v>
      </c>
      <c r="D19" s="14">
        <f t="shared" si="0"/>
        <v>1.5</v>
      </c>
      <c r="E19" s="4">
        <f t="shared" si="1"/>
        <v>0.6</v>
      </c>
      <c r="F19" s="17"/>
      <c r="G19" s="1"/>
      <c r="H19" s="17"/>
      <c r="I19" s="1"/>
      <c r="J19" s="17"/>
    </row>
    <row r="20" s="1" customFormat="1" spans="1:10">
      <c r="A20" s="19"/>
      <c r="B20" s="13" t="s">
        <v>36</v>
      </c>
      <c r="C20" s="4">
        <v>5.5</v>
      </c>
      <c r="D20" s="14">
        <f t="shared" si="0"/>
        <v>2.75</v>
      </c>
      <c r="E20" s="4">
        <f t="shared" si="1"/>
        <v>1.1</v>
      </c>
      <c r="F20" s="17"/>
      <c r="G20" s="1"/>
      <c r="H20" s="15"/>
      <c r="I20" s="1"/>
      <c r="J20" s="15"/>
    </row>
    <row r="21" s="1" customFormat="1" spans="1:1">
      <c r="A21" s="21"/>
    </row>
  </sheetData>
  <mergeCells count="2">
    <mergeCell ref="A9:A16"/>
    <mergeCell ref="A17:A20"/>
  </mergeCells>
  <hyperlinks>
    <hyperlink ref="B9" r:id="rId1" display="Core Java"/>
    <hyperlink ref="B10" r:id="rId2" display="Junit"/>
    <hyperlink ref="B17" r:id="rId3" display="GIT"/>
    <hyperlink ref="B18" r:id="rId4" display="Jenkins"/>
    <hyperlink ref="B19" r:id="rId5" display="Docker"/>
    <hyperlink ref="B20" r:id="rId6" display="Java DevOps/CICD Pipeline"/>
    <hyperlink ref="B11" r:id="rId7" display="Java Web Development"/>
    <hyperlink ref="B13" r:id="rId8" display="Spring Framework"/>
    <hyperlink ref="B14" r:id="rId9" display="JPA with Hibernate"/>
    <hyperlink ref="B15" r:id="rId10" display="Spring Boot Web Services"/>
    <hyperlink ref="B12" r:id="rId11" display="Maven"/>
    <hyperlink ref="B16" r:id="rId12" display="Microservices Architecture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Soniya</dc:creator>
  <cp:lastModifiedBy>Soniya</cp:lastModifiedBy>
  <dcterms:created xsi:type="dcterms:W3CDTF">2022-12-22T09:42:31Z</dcterms:created>
  <dcterms:modified xsi:type="dcterms:W3CDTF">2022-12-22T09:42:49Z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28F73DA429C34A76AFA816C1A5619F6A</vt:lpwstr>
  </property>
  <property fmtid="{D5CDD505-2E9C-101B-9397-08002B2CF9AE}" pid="3" name="KSOProductBuildVer">
    <vt:lpwstr>1033-11.2.0.11440</vt:lpwstr>
  </property>
</Properties>
</file>