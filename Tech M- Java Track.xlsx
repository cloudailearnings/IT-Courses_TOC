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Aishwarya\Downloads\"/>
    </mc:Choice>
  </mc:AlternateContent>
  <xr:revisionPtr revIDLastSave="0" documentId="13_ncr:1_{832731A0-BC26-4C75-B1B1-4385D5890F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4" i="1"/>
  <c r="B4" i="1"/>
  <c r="G4" i="1" l="1"/>
  <c r="H4" i="1" s="1"/>
  <c r="J4" i="1" s="1"/>
  <c r="C4" i="1"/>
  <c r="D4" i="1"/>
</calcChain>
</file>

<file path=xl/sharedStrings.xml><?xml version="1.0" encoding="utf-8"?>
<sst xmlns="http://schemas.openxmlformats.org/spreadsheetml/2006/main" count="38" uniqueCount="38">
  <si>
    <t>Days/week</t>
  </si>
  <si>
    <t>Efforts/Day</t>
  </si>
  <si>
    <t>Calculated Value</t>
  </si>
  <si>
    <t>Track</t>
  </si>
  <si>
    <t>A. Training Hours</t>
  </si>
  <si>
    <t>B. Hands-on (50% of  A)</t>
  </si>
  <si>
    <t>C. Faculty Intervention (20% of A)</t>
  </si>
  <si>
    <t>D. Capstone</t>
  </si>
  <si>
    <t>E. Assessment</t>
  </si>
  <si>
    <t>Total (Hrs)</t>
  </si>
  <si>
    <t>Weeks</t>
  </si>
  <si>
    <t>Buffer Weeks</t>
  </si>
  <si>
    <t>Total (Weeks)</t>
  </si>
  <si>
    <t>Phase2: Java Track</t>
  </si>
  <si>
    <t>Phase-3: Project-Specific 
(on-the-job)</t>
  </si>
  <si>
    <t>Additional modules requied for specific projects + On-the-job live project environment+Mentoring</t>
  </si>
  <si>
    <t>Phase-2: Specialization Track</t>
  </si>
  <si>
    <t>Module</t>
  </si>
  <si>
    <t>Duration</t>
  </si>
  <si>
    <t>Hands-on (Hrs)</t>
  </si>
  <si>
    <t>Faculty Intervention (hrs)</t>
  </si>
  <si>
    <t>Capstone Project</t>
  </si>
  <si>
    <t>Integrated Project</t>
  </si>
  <si>
    <t>Development</t>
  </si>
  <si>
    <t>Core Java</t>
  </si>
  <si>
    <t>Junit</t>
  </si>
  <si>
    <t>Java Web Development</t>
  </si>
  <si>
    <t>Maven</t>
  </si>
  <si>
    <t>Spring Framework</t>
  </si>
  <si>
    <t>JPA with Hibernate</t>
  </si>
  <si>
    <t>Spring Boot Web Services</t>
  </si>
  <si>
    <t>Microservices Architecture</t>
  </si>
  <si>
    <t>DevOps-CI/CD</t>
  </si>
  <si>
    <t>GIT</t>
  </si>
  <si>
    <t>Jenkins</t>
  </si>
  <si>
    <t>Docker</t>
  </si>
  <si>
    <t>Java DevOps/CICD Pipeline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</si>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</sst>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2"/>
      <name val="Calibri"/>
      <charset val="134"/>
      <scheme val="minor"/>
    </font>
    <font>
      <u/>
      <sz val="11"/>
      <color rgb="FF0000FF"/>
      <name val="Calibri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1" xfId="0" applyFont="1" applyBorder="1" applyAlignment="1"/>
    <xf numFmtId="0" fontId="1" fillId="0" borderId="1" xfId="0" applyFont="1" applyBorder="1" applyAlignment="1"/>
    <xf numFmtId="0" fontId="1" fillId="2" borderId="0" xfId="0" applyFont="1" applyFill="1" applyAlignment="1"/>
    <xf numFmtId="0" fontId="1" fillId="2" borderId="1" xfId="0" applyFont="1" applyFill="1" applyBorder="1" applyAlignment="1"/>
    <xf numFmtId="166" fontId="1" fillId="2" borderId="1" xfId="0" applyNumberFormat="1" applyFont="1" applyFill="1" applyBorder="1" applyAlignment="1"/>
    <xf numFmtId="0" fontId="2" fillId="0" borderId="0" xfId="0" applyFont="1" applyAlignment="1"/>
    <xf numFmtId="166" fontId="1" fillId="0" borderId="0" xfId="0" applyNumberFormat="1" applyFont="1" applyAlignment="1"/>
    <xf numFmtId="0" fontId="2" fillId="0" borderId="1" xfId="0" applyFont="1" applyBorder="1" applyAlignment="1">
      <alignment wrapText="1"/>
    </xf>
    <xf numFmtId="0" fontId="1" fillId="0" borderId="0" xfId="0" applyFont="1">
      <alignment vertical="center"/>
    </xf>
    <xf numFmtId="0" fontId="3" fillId="0" borderId="1" xfId="1" applyFont="1" applyFill="1" applyBorder="1" applyAlignment="1"/>
    <xf numFmtId="0" fontId="4" fillId="0" borderId="1" xfId="1" applyFont="1" applyBorder="1" applyAlignment="1"/>
    <xf numFmtId="0" fontId="3" fillId="0" borderId="0" xfId="1" applyFont="1" applyFill="1" applyBorder="1" applyAlignment="1"/>
    <xf numFmtId="0" fontId="3" fillId="0" borderId="0" xfId="1" applyFont="1" applyBorder="1" applyAlignment="1"/>
    <xf numFmtId="0" fontId="3" fillId="0" borderId="1" xfId="1" applyFont="1" applyBorder="1" applyAlignme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m.udemy.com/course/spring-tutorial-for-beginners/" TargetMode="External"/><Relationship Id="rId3" Type="http://schemas.openxmlformats.org/officeDocument/2006/relationships/hyperlink" Target="https://tm.udemy.com/git-complete/" TargetMode="External"/><Relationship Id="rId7" Type="http://schemas.openxmlformats.org/officeDocument/2006/relationships/hyperlink" Target="https://tm.udemy.com/course/jdbcservletsandjsp/" TargetMode="External"/><Relationship Id="rId12" Type="http://schemas.openxmlformats.org/officeDocument/2006/relationships/hyperlink" Target="https://tm.udemy.com/course/microservices-architecture-the-complete-guide/" TargetMode="External"/><Relationship Id="rId2" Type="http://schemas.openxmlformats.org/officeDocument/2006/relationships/hyperlink" Target="https://tm.udemy.com/mockito-tutorial-with-junit-examples/" TargetMode="External"/><Relationship Id="rId1" Type="http://schemas.openxmlformats.org/officeDocument/2006/relationships/hyperlink" Target="https://tm.udemy.com/master-practical-java-development/" TargetMode="External"/><Relationship Id="rId6" Type="http://schemas.openxmlformats.org/officeDocument/2006/relationships/hyperlink" Target="https://tm.udemy.com/course/valaxy-devops/" TargetMode="External"/><Relationship Id="rId11" Type="http://schemas.openxmlformats.org/officeDocument/2006/relationships/hyperlink" Target="https://tm.udemy.com/course/mavencrashcourse/" TargetMode="External"/><Relationship Id="rId5" Type="http://schemas.openxmlformats.org/officeDocument/2006/relationships/hyperlink" Target="https://tm.udemy.com/docker-tutorial-for-devops-run-docker-containers/" TargetMode="External"/><Relationship Id="rId10" Type="http://schemas.openxmlformats.org/officeDocument/2006/relationships/hyperlink" Target="https://tm.udemy.com/course/spring-web-services-tutorial/" TargetMode="External"/><Relationship Id="rId4" Type="http://schemas.openxmlformats.org/officeDocument/2006/relationships/hyperlink" Target="https://tm.udemy.com/devops-and-continuous-integration-with-jenkins-pipelines/" TargetMode="External"/><Relationship Id="rId9" Type="http://schemas.openxmlformats.org/officeDocument/2006/relationships/hyperlink" Target="https://tm.udemy.com/course/hibernate-jpa-tutorial-for-beginners-in-100-ste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B21" sqref="B21"/>
    </sheetView>
  </sheetViews>
  <sheetFormatPr defaultColWidth="10.33203125" defaultRowHeight="15.6"/>
  <cols>
    <col min="1" max="1" width="29.44140625" style="2" customWidth="1"/>
    <col min="2" max="2" width="26.5546875" style="1" customWidth="1"/>
    <col min="3" max="3" width="11.5546875" style="1" customWidth="1"/>
    <col min="4" max="4" width="20.5546875" style="1" customWidth="1"/>
    <col min="5" max="5" width="26.33203125" style="1" customWidth="1"/>
    <col min="6" max="6" width="10.33203125" style="1"/>
    <col min="7" max="7" width="14.44140625" style="1" customWidth="1"/>
    <col min="8" max="8" width="17" style="1" customWidth="1"/>
    <col min="9" max="9" width="14.44140625" style="1" customWidth="1"/>
    <col min="10" max="10" width="15.44140625" style="1" customWidth="1"/>
    <col min="11" max="11" width="9.6640625" style="1" customWidth="1"/>
    <col min="12" max="16384" width="10.33203125" style="1"/>
  </cols>
  <sheetData>
    <row r="1" spans="1:11">
      <c r="A1" s="3" t="s">
        <v>0</v>
      </c>
      <c r="B1" s="4">
        <v>6</v>
      </c>
      <c r="C1" s="3" t="s">
        <v>1</v>
      </c>
      <c r="D1" s="4">
        <v>8</v>
      </c>
      <c r="F1" s="5" t="s">
        <v>2</v>
      </c>
    </row>
    <row r="2" spans="1:11">
      <c r="A2" s="1"/>
    </row>
    <row r="3" spans="1:1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1">
      <c r="A4" s="3" t="s">
        <v>13</v>
      </c>
      <c r="B4" s="6">
        <f>SUM(C9:C20)</f>
        <v>94</v>
      </c>
      <c r="C4" s="6">
        <f>B4/2</f>
        <v>47</v>
      </c>
      <c r="D4" s="6">
        <f>B4*0.2</f>
        <v>18.8</v>
      </c>
      <c r="E4" s="6">
        <f>C8</f>
        <v>80</v>
      </c>
      <c r="F4" s="6">
        <v>8</v>
      </c>
      <c r="G4" s="6">
        <f>SUM(B4:F4)</f>
        <v>247.8</v>
      </c>
      <c r="H4" s="7">
        <f>(G4/$D$1)/$B$1</f>
        <v>5.1625000000000005</v>
      </c>
      <c r="I4" s="7">
        <v>1</v>
      </c>
      <c r="J4" s="7">
        <f>SUM(H4:I4)</f>
        <v>6.1625000000000005</v>
      </c>
    </row>
    <row r="5" spans="1:11">
      <c r="B5" s="8"/>
      <c r="G5" s="9"/>
    </row>
    <row r="6" spans="1:11" ht="31.2">
      <c r="A6" s="10" t="s">
        <v>14</v>
      </c>
      <c r="B6" s="11" t="s">
        <v>15</v>
      </c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0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8"/>
      <c r="G7" s="8"/>
      <c r="H7" s="8"/>
      <c r="I7" s="8"/>
      <c r="J7" s="8"/>
      <c r="K7" s="8"/>
    </row>
    <row r="8" spans="1:11">
      <c r="A8" s="10" t="s">
        <v>21</v>
      </c>
      <c r="B8" s="4" t="s">
        <v>22</v>
      </c>
      <c r="C8" s="4">
        <v>80</v>
      </c>
      <c r="D8" s="4"/>
      <c r="E8" s="4"/>
    </row>
    <row r="9" spans="1:11">
      <c r="A9" s="18" t="s">
        <v>23</v>
      </c>
      <c r="B9" s="12" t="s">
        <v>24</v>
      </c>
      <c r="C9" s="4">
        <v>17.5</v>
      </c>
      <c r="D9" s="13">
        <f t="shared" ref="D9:D20" si="0">C9*0.5</f>
        <v>8.75</v>
      </c>
      <c r="E9" s="4">
        <f t="shared" ref="E9:E20" si="1">C9*0.2</f>
        <v>3.5</v>
      </c>
      <c r="F9" s="14"/>
      <c r="H9" s="14"/>
      <c r="J9" s="14"/>
    </row>
    <row r="10" spans="1:11">
      <c r="A10" s="19"/>
      <c r="B10" s="12" t="s">
        <v>25</v>
      </c>
      <c r="C10" s="4">
        <v>4.5</v>
      </c>
      <c r="D10" s="13">
        <f t="shared" si="0"/>
        <v>2.25</v>
      </c>
      <c r="E10" s="4">
        <f t="shared" si="1"/>
        <v>0.9</v>
      </c>
      <c r="F10" s="15"/>
      <c r="H10" s="14"/>
      <c r="J10" s="15"/>
    </row>
    <row r="11" spans="1:11">
      <c r="A11" s="19"/>
      <c r="B11" s="12" t="s">
        <v>26</v>
      </c>
      <c r="C11" s="4">
        <v>9</v>
      </c>
      <c r="D11" s="13">
        <f t="shared" si="0"/>
        <v>4.5</v>
      </c>
      <c r="E11" s="4">
        <f t="shared" si="1"/>
        <v>1.8</v>
      </c>
      <c r="F11" s="15"/>
      <c r="H11" s="14"/>
      <c r="J11" s="15"/>
    </row>
    <row r="12" spans="1:11">
      <c r="A12" s="19"/>
      <c r="B12" s="12" t="s">
        <v>27</v>
      </c>
      <c r="C12" s="4">
        <v>5.5</v>
      </c>
      <c r="D12" s="13">
        <f t="shared" si="0"/>
        <v>2.75</v>
      </c>
      <c r="E12" s="4">
        <f t="shared" si="1"/>
        <v>1.1000000000000001</v>
      </c>
      <c r="F12" s="15"/>
      <c r="H12" s="14"/>
      <c r="J12" s="15"/>
    </row>
    <row r="13" spans="1:11">
      <c r="A13" s="19"/>
      <c r="B13" s="12" t="s">
        <v>28</v>
      </c>
      <c r="C13" s="4">
        <v>13</v>
      </c>
      <c r="D13" s="13">
        <f t="shared" si="0"/>
        <v>6.5</v>
      </c>
      <c r="E13" s="4">
        <f t="shared" si="1"/>
        <v>2.6</v>
      </c>
      <c r="F13" s="15"/>
      <c r="H13" s="14"/>
      <c r="J13" s="14"/>
    </row>
    <row r="14" spans="1:11">
      <c r="A14" s="19"/>
      <c r="B14" s="12" t="s">
        <v>29</v>
      </c>
      <c r="C14" s="4">
        <v>12</v>
      </c>
      <c r="D14" s="13">
        <f t="shared" si="0"/>
        <v>6</v>
      </c>
      <c r="E14" s="4">
        <f t="shared" si="1"/>
        <v>2.4000000000000004</v>
      </c>
      <c r="F14" s="15"/>
      <c r="H14" s="14"/>
      <c r="J14" s="15"/>
    </row>
    <row r="15" spans="1:11">
      <c r="A15" s="19"/>
      <c r="B15" s="12" t="s">
        <v>30</v>
      </c>
      <c r="C15" s="4">
        <v>9.5</v>
      </c>
      <c r="D15" s="13">
        <f t="shared" si="0"/>
        <v>4.75</v>
      </c>
      <c r="E15" s="4">
        <f t="shared" si="1"/>
        <v>1.9000000000000001</v>
      </c>
      <c r="H15" s="14"/>
      <c r="J15" s="15"/>
    </row>
    <row r="16" spans="1:11">
      <c r="A16" s="20"/>
      <c r="B16" s="12" t="s">
        <v>31</v>
      </c>
      <c r="C16" s="4">
        <v>5</v>
      </c>
      <c r="D16" s="13">
        <f t="shared" si="0"/>
        <v>2.5</v>
      </c>
      <c r="E16" s="4">
        <f t="shared" si="1"/>
        <v>1</v>
      </c>
      <c r="H16" s="14"/>
      <c r="J16" s="15"/>
    </row>
    <row r="17" spans="1:10">
      <c r="A17" s="21" t="s">
        <v>32</v>
      </c>
      <c r="B17" s="16" t="s">
        <v>33</v>
      </c>
      <c r="C17" s="4">
        <v>6</v>
      </c>
      <c r="D17" s="13">
        <f t="shared" si="0"/>
        <v>3</v>
      </c>
      <c r="E17" s="4">
        <f t="shared" si="1"/>
        <v>1.2000000000000002</v>
      </c>
      <c r="F17" s="14"/>
      <c r="H17" s="15"/>
      <c r="J17" s="15"/>
    </row>
    <row r="18" spans="1:10">
      <c r="A18" s="21"/>
      <c r="B18" s="16" t="s">
        <v>34</v>
      </c>
      <c r="C18" s="4">
        <v>3.5</v>
      </c>
      <c r="D18" s="13">
        <f t="shared" si="0"/>
        <v>1.75</v>
      </c>
      <c r="E18" s="4">
        <f t="shared" si="1"/>
        <v>0.70000000000000007</v>
      </c>
      <c r="F18" s="15"/>
      <c r="H18" s="15"/>
      <c r="J18" s="15"/>
    </row>
    <row r="19" spans="1:10">
      <c r="A19" s="21"/>
      <c r="B19" s="16" t="s">
        <v>35</v>
      </c>
      <c r="C19" s="4">
        <v>3</v>
      </c>
      <c r="D19" s="13">
        <f t="shared" si="0"/>
        <v>1.5</v>
      </c>
      <c r="E19" s="4">
        <f t="shared" si="1"/>
        <v>0.60000000000000009</v>
      </c>
      <c r="F19" s="15"/>
      <c r="H19" s="15"/>
      <c r="J19" s="15"/>
    </row>
    <row r="20" spans="1:10">
      <c r="A20" s="21"/>
      <c r="B20" s="12" t="s">
        <v>36</v>
      </c>
      <c r="C20" s="4">
        <v>5.5</v>
      </c>
      <c r="D20" s="13">
        <f t="shared" si="0"/>
        <v>2.75</v>
      </c>
      <c r="E20" s="4">
        <f t="shared" si="1"/>
        <v>1.1000000000000001</v>
      </c>
      <c r="F20" s="15"/>
      <c r="H20" s="14"/>
      <c r="J20" s="14"/>
    </row>
    <row r="21" spans="1:10">
      <c r="A21" s="17"/>
      <c r="B21" s="22" t="s">
        <v>37</v>
      </c>
    </row>
  </sheetData>
  <mergeCells count="2">
    <mergeCell ref="A9:A16"/>
    <mergeCell ref="A17:A20"/>
  </mergeCells>
  <hyperlinks>
    <hyperlink ref="B9" r:id="rId1" xr:uid="{00000000-0004-0000-0000-000000000000}"/>
    <hyperlink ref="B10" r:id="rId2" xr:uid="{00000000-0004-0000-0000-000001000000}"/>
    <hyperlink ref="B17" r:id="rId3" xr:uid="{00000000-0004-0000-0000-000002000000}"/>
    <hyperlink ref="B18" r:id="rId4" xr:uid="{00000000-0004-0000-0000-000003000000}"/>
    <hyperlink ref="B19" r:id="rId5" xr:uid="{00000000-0004-0000-0000-000004000000}"/>
    <hyperlink ref="B20" r:id="rId6" xr:uid="{00000000-0004-0000-0000-000005000000}"/>
    <hyperlink ref="B11" r:id="rId7" xr:uid="{00000000-0004-0000-0000-000006000000}"/>
    <hyperlink ref="B13" r:id="rId8" xr:uid="{00000000-0004-0000-0000-000007000000}"/>
    <hyperlink ref="B14" r:id="rId9" xr:uid="{00000000-0004-0000-0000-000008000000}"/>
    <hyperlink ref="B15" r:id="rId10" xr:uid="{00000000-0004-0000-0000-000009000000}"/>
    <hyperlink ref="B12" r:id="rId11" xr:uid="{00000000-0004-0000-0000-00000A000000}"/>
    <hyperlink ref="B16" r:id="rId12" xr:uid="{00000000-0004-0000-0000-00000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Soniya</dc:creator>
  <cp:lastModifiedBy>Aishwarya</cp:lastModifiedBy>
  <dcterms:created xsi:type="dcterms:W3CDTF">2022-12-22T09:42:31Z</dcterms:created>
  <dcterms:modified xsi:type="dcterms:W3CDTF">2023-01-06T13:21:34Z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28F73DA429C34A76AFA816C1A5619F6A</vt:lpwstr>
  </property>
  <property fmtid="{D5CDD505-2E9C-101B-9397-08002B2CF9AE}" pid="3" name="KSOProductBuildVer">
    <vt:lpwstr>1033-11.2.0.11440</vt:lpwstr>
  </property>
</Properties>
</file>