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worksheets/sheet9.xml" ContentType="application/vnd.openxmlformats-officedocument.spreadsheetml.worksheet+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externalLinks/externalLink10.xml" ContentType="application/vnd.openxmlformats-officedocument.spreadsheetml.externalLink+xml"/>
  <Override PartName="/xl/sharedStrings.xml" ContentType="application/vnd.openxmlformats-officedocument.spreadsheetml.sharedStrings+xml"/>
  <Default Extension="xlsx" ContentType="application/vnd.openxmlformats-officedocument.spreadsheetml.sheet"/>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0490" windowHeight="7620" firstSheet="4" activeTab="6"/>
  </bookViews>
  <sheets>
    <sheet name="About the Curriculum" sheetId="39" r:id="rId1"/>
    <sheet name="Summary" sheetId="38" state="hidden" r:id="rId2"/>
    <sheet name="ModuleList" sheetId="1" r:id="rId3"/>
    <sheet name="Performance Outcomes" sheetId="31" r:id="rId4"/>
    <sheet name="Skill Framework" sheetId="32" r:id="rId5"/>
    <sheet name="Stage 1-Scope" sheetId="33" r:id="rId6"/>
    <sheet name="Stage 2-Scope" sheetId="34" r:id="rId7"/>
    <sheet name="Stage3-Scope" sheetId="35" r:id="rId8"/>
    <sheet name="Stage 4-Scope" sheetId="37" r:id="rId9"/>
    <sheet name="JavaReference" sheetId="5" state="hidden" r:id="rId10"/>
    <sheet name="DotnetReference (2)" sheetId="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______cps2">'[1]Working Sheet'!$CQ$7:$CQ$9</definedName>
    <definedName name="________cps3">'[1]Working Sheet'!$CQ$7:$CQ$9</definedName>
    <definedName name="_______cps2">'[1]Working Sheet'!$CQ$7:$CQ$9</definedName>
    <definedName name="_______cps3">'[1]Working Sheet'!$CQ$7:$CQ$9</definedName>
    <definedName name="______cps2">'[1]Working Sheet'!$CQ$7:$CQ$9</definedName>
    <definedName name="______cps3">'[1]Working Sheet'!$CQ$7:$CQ$9</definedName>
    <definedName name="_____cps2">'[1]Working Sheet'!$CQ$7:$CQ$9</definedName>
    <definedName name="_____cps3">'[1]Working Sheet'!$CQ$7:$CQ$9</definedName>
    <definedName name="____cps2">'[1]Working Sheet'!$CQ$7:$CQ$9</definedName>
    <definedName name="____cps3">'[1]Working Sheet'!$CQ$7:$CQ$9</definedName>
    <definedName name="___cps2">'[1]Working Sheet'!$CQ$7:$CQ$9</definedName>
    <definedName name="___cps3">'[1]Working Sheet'!$CQ$7:$CQ$9</definedName>
    <definedName name="__cps2">'[1]Working Sheet'!$CQ$7:$CQ$9</definedName>
    <definedName name="__cps3">'[1]Working Sheet'!$CQ$7:$CQ$9</definedName>
    <definedName name="_cps1">'[2]Working Sheet'!$CQ$7:$CQ$9</definedName>
    <definedName name="_cps2">'[1]Working Sheet'!$CQ$7:$CQ$9</definedName>
    <definedName name="_cps3">'[1]Working Sheet'!$CQ$7:$CQ$9</definedName>
    <definedName name="_xlnm._FilterDatabase" localSheetId="2" hidden="1">ModuleList!$A$1:$H$93</definedName>
    <definedName name="abc" localSheetId="4">#REF!</definedName>
    <definedName name="abc" localSheetId="5">#REF!</definedName>
    <definedName name="abc" localSheetId="6">#REF!</definedName>
    <definedName name="abc">#REF!</definedName>
    <definedName name="CleintSide">JavaReference!$A$5:$E$7</definedName>
    <definedName name="csharp">'[3]Learning Assets'!$B$4:$B$48</definedName>
    <definedName name="CSharp1">'[4]Learning Assets'!$B$4:$B$48</definedName>
    <definedName name="dffdafda">'[5]Learning Assets'!$B$4:$B$48</definedName>
    <definedName name="grtyrt">'[6]Learning Assets'!$B$4:$B$48</definedName>
    <definedName name="ImpFactor">'[7]Dotnet&amp;CC Skills'!$E$121:$E$123</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'[8]Learning Assets'!$B$4:$B$48</definedName>
    <definedName name="PL" localSheetId="4">#REF!</definedName>
    <definedName name="PL" localSheetId="5">#REF!</definedName>
    <definedName name="PL" localSheetId="6">#REF!</definedName>
    <definedName name="PL">#REF!</definedName>
    <definedName name="ProfLevel">'[7]Proficiency Level Desc'!$A$2:$A$6</definedName>
    <definedName name="ServerSide">JavaReference!$A$9:$E$11</definedName>
    <definedName name="Skill">[9]Skill!$N$7:$N$9</definedName>
    <definedName name="SkillCategory">'[10]Read Me'!$N$1:$N$4</definedName>
    <definedName name="tttt">'[11]Learning Assets'!$B$4:$B$48</definedName>
  </definedNames>
  <calcPr calcId="12451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62" i="1"/>
  <c r="H2"/>
  <c r="H16"/>
  <c r="H58" l="1"/>
  <c r="H52"/>
  <c r="H36"/>
  <c r="H30" l="1"/>
  <c r="H56"/>
  <c r="H48"/>
  <c r="D9" i="38" l="1"/>
  <c r="D7"/>
  <c r="D6"/>
  <c r="H44" i="1"/>
  <c r="H40"/>
  <c r="H32"/>
  <c r="H60"/>
  <c r="D10" i="38" s="1"/>
  <c r="D8" l="1"/>
  <c r="H86" i="1"/>
  <c r="D12" i="38" s="1"/>
  <c r="H63" i="1"/>
  <c r="D11" i="38" s="1"/>
  <c r="H83" i="1" l="1"/>
  <c r="D13" i="38"/>
  <c r="D16" s="1"/>
  <c r="H92" i="1"/>
  <c r="H84" l="1"/>
  <c r="H93"/>
  <c r="H94" l="1"/>
</calcChain>
</file>

<file path=xl/sharedStrings.xml><?xml version="1.0" encoding="utf-8"?>
<sst xmlns="http://schemas.openxmlformats.org/spreadsheetml/2006/main" count="772" uniqueCount="486">
  <si>
    <t>ILT</t>
  </si>
  <si>
    <t>Stage 2</t>
  </si>
  <si>
    <t>Skill</t>
  </si>
  <si>
    <t>Elearning</t>
  </si>
  <si>
    <t>AVM Service Line Orientation</t>
  </si>
  <si>
    <t>Integrated Development Project</t>
  </si>
  <si>
    <t xml:space="preserve">Leadership Connect, BU Induction </t>
  </si>
  <si>
    <t>Behavioral</t>
  </si>
  <si>
    <t>Awareness</t>
  </si>
  <si>
    <t>AD  Service Line Orientation</t>
  </si>
  <si>
    <t>Stage 1</t>
  </si>
  <si>
    <t>Knowledge</t>
  </si>
  <si>
    <t>Digital 101</t>
  </si>
  <si>
    <t>Organizational Mandate</t>
  </si>
  <si>
    <t>Excellence in Delivery</t>
  </si>
  <si>
    <t>Organizational elearnings</t>
  </si>
  <si>
    <t>JavaScript</t>
  </si>
  <si>
    <t>XML</t>
  </si>
  <si>
    <t>HTML and CSS</t>
  </si>
  <si>
    <t>UI &amp; Scripting Technology</t>
  </si>
  <si>
    <t>Programming  &amp; Database Technology</t>
  </si>
  <si>
    <t>Assessment Assured Level</t>
  </si>
  <si>
    <t>Enablement Assured Level</t>
  </si>
  <si>
    <t xml:space="preserve">Baseline Duration
 ( Hours ) </t>
  </si>
  <si>
    <t>Delivery Method</t>
  </si>
  <si>
    <t>Course/Module</t>
  </si>
  <si>
    <t>Stage/Level</t>
  </si>
  <si>
    <t>Course Segment</t>
  </si>
  <si>
    <t>Duration</t>
  </si>
  <si>
    <t>Java/Dotnet</t>
  </si>
  <si>
    <t>Client/server</t>
  </si>
  <si>
    <t>Skill list</t>
  </si>
  <si>
    <t>HTML</t>
  </si>
  <si>
    <t>Stage wise -Total Duration</t>
  </si>
  <si>
    <t>Total Track Duration (in hrs)</t>
  </si>
  <si>
    <t>Total Track Duration (in weeks)</t>
  </si>
  <si>
    <t>ASP.Net</t>
  </si>
  <si>
    <t>ASP .NET MVC</t>
  </si>
  <si>
    <t>ASP.Net MVC (Not Needed)</t>
  </si>
  <si>
    <t>Organization Mandate Courses and E-learnings &lt;Learning outside scheduled hours&gt;</t>
  </si>
  <si>
    <t>Total Duration (in hrs)</t>
  </si>
  <si>
    <t>Total Duration (in weeks)</t>
  </si>
  <si>
    <t>ANSI SQL Using MySQL</t>
  </si>
  <si>
    <t>Key Performance Outcomes</t>
  </si>
  <si>
    <t>Coding Challenge(Web UI)</t>
  </si>
  <si>
    <t>Integrated Capability Test</t>
  </si>
  <si>
    <t>Practice case study</t>
  </si>
  <si>
    <t>Code Challenge (ANSI SQL)</t>
  </si>
  <si>
    <t>Video Based</t>
  </si>
  <si>
    <t>Hands-on</t>
  </si>
  <si>
    <t>HTML/CSS Practice / Hands-on</t>
  </si>
  <si>
    <t>ANSI SQL Using MySQL Practice / Hands-on</t>
  </si>
  <si>
    <t>HeadStart_First Act[101-Basics]</t>
  </si>
  <si>
    <t>Group Discussion or Debate[101-Basics]</t>
  </si>
  <si>
    <t>Learning agility [101-Basics]</t>
  </si>
  <si>
    <t>Tools to Problem Solving, Critical thinking,  open to change &amp; learn &amp; Memory Hacks[101-Basics]</t>
  </si>
  <si>
    <t>Professional Etiquette+Context setting[101-Basics]</t>
  </si>
  <si>
    <t>Professional Etiquette  coaching [101-Basics]</t>
  </si>
  <si>
    <t>In a Nutshell [101-Basics]</t>
  </si>
  <si>
    <t>Peer learning[101-Basics]</t>
  </si>
  <si>
    <t>Business Communication 1[101-Basics]</t>
  </si>
  <si>
    <t>Impromptu speeches[101-Basics]</t>
  </si>
  <si>
    <t>Email+Chat Coaching[101-Basics]</t>
  </si>
  <si>
    <t>Business Communication 2[101-Basics]</t>
  </si>
  <si>
    <t>Presco[101-Basics]</t>
  </si>
  <si>
    <t>Telecom Coaching[101-Basics]</t>
  </si>
  <si>
    <t>Business Communication Coaching[101-Basics]</t>
  </si>
  <si>
    <t>Story Telling[101-Basics]</t>
  </si>
  <si>
    <t>Project Simulation[101-Basics]</t>
  </si>
  <si>
    <t>Interview Clinic[101-Basics]</t>
  </si>
  <si>
    <t>Mock interview practice[101-Basics]</t>
  </si>
  <si>
    <t>1 session mandate[101-Basics]</t>
  </si>
  <si>
    <t xml:space="preserve">Agile </t>
  </si>
  <si>
    <t>Core Java</t>
  </si>
  <si>
    <t>Core Java - Practice / Hands-on</t>
  </si>
  <si>
    <t>Code Challenge(Core Java)</t>
  </si>
  <si>
    <t>Core Java - Integrated Capability Test</t>
  </si>
  <si>
    <t>HTML/CSS/Javascript</t>
  </si>
  <si>
    <t>Core Java - Mock Integrated Capability Test/Practice</t>
  </si>
  <si>
    <t>Spring Core and Maven</t>
  </si>
  <si>
    <t>Spring Core and Maven - Practice / Hands-on</t>
  </si>
  <si>
    <t>Code Challenge(Spring Core and Maven)</t>
  </si>
  <si>
    <t>TDD, Code Quality</t>
  </si>
  <si>
    <t>Certification</t>
  </si>
  <si>
    <t>Spring MVC with Spring Boot</t>
  </si>
  <si>
    <t>Spring MVC with Spring Boot Practice / Hands-on</t>
  </si>
  <si>
    <t>Code Challenge(Spring MVC with Spring Boot )</t>
  </si>
  <si>
    <t>Mock Integrated Capability Test/Practice</t>
  </si>
  <si>
    <t>Tracks</t>
  </si>
  <si>
    <t>Competency Type</t>
  </si>
  <si>
    <t>Key Performance Metrics</t>
  </si>
  <si>
    <t>Academy Java Track - Stage 1</t>
  </si>
  <si>
    <t>Technical</t>
  </si>
  <si>
    <t>- No of code review comments on the delivered code
- No of non compliance issues identified against coding process and standards
- Adherence to schedule/ timelines (Effort Variance (Actual-planned)/ planned efforts)
-  Quick turnaround of defect resolution</t>
  </si>
  <si>
    <t>Academy Java Track - Stage 2</t>
  </si>
  <si>
    <t>Technology Layer</t>
  </si>
  <si>
    <t>Technology Category</t>
  </si>
  <si>
    <t>Proficiency</t>
  </si>
  <si>
    <t>Programming Language</t>
  </si>
  <si>
    <t>PL1 - Learner</t>
  </si>
  <si>
    <t>Java</t>
  </si>
  <si>
    <t>Scripting Language</t>
  </si>
  <si>
    <t>Presentation Layer</t>
  </si>
  <si>
    <t>Basic UI/Markup</t>
  </si>
  <si>
    <t>HTML5</t>
  </si>
  <si>
    <t>CSS3</t>
  </si>
  <si>
    <t>Responsive Web Design</t>
  </si>
  <si>
    <t>Web Frameworks</t>
  </si>
  <si>
    <t>Spring MVC</t>
  </si>
  <si>
    <t>Java Server Pages</t>
  </si>
  <si>
    <t>Servlets</t>
  </si>
  <si>
    <t>JSTL</t>
  </si>
  <si>
    <t>Middleware</t>
  </si>
  <si>
    <t>Business Tier</t>
  </si>
  <si>
    <t>Spring Core</t>
  </si>
  <si>
    <t>Spring Boot</t>
  </si>
  <si>
    <t>Persistence Tier</t>
  </si>
  <si>
    <t>Integration Tier</t>
  </si>
  <si>
    <t>Data Layer</t>
  </si>
  <si>
    <t>Query Languages</t>
  </si>
  <si>
    <t xml:space="preserve">ANSI SQL </t>
  </si>
  <si>
    <t>RDBMS/No-SQL</t>
  </si>
  <si>
    <t>MySQL</t>
  </si>
  <si>
    <t>Ancillary Layer</t>
  </si>
  <si>
    <t>Common Utilities</t>
  </si>
  <si>
    <t>Eclipse</t>
  </si>
  <si>
    <t>MySQL Workbench</t>
  </si>
  <si>
    <t>Spring Tool Suite</t>
  </si>
  <si>
    <t>Platform and OS</t>
  </si>
  <si>
    <t>Windows</t>
  </si>
  <si>
    <t>Unit Testing</t>
  </si>
  <si>
    <t>Servers</t>
  </si>
  <si>
    <t>Tomcat</t>
  </si>
  <si>
    <t>Software Architecture</t>
  </si>
  <si>
    <t>MVC</t>
  </si>
  <si>
    <t>Design Principles, Patterns and Tools</t>
  </si>
  <si>
    <t>Object Oriented Principles</t>
  </si>
  <si>
    <t>Cloud and DevOps</t>
  </si>
  <si>
    <t>CI/CD</t>
  </si>
  <si>
    <t>Maven</t>
  </si>
  <si>
    <t>Containerization</t>
  </si>
  <si>
    <t>Cloud</t>
  </si>
  <si>
    <r>
      <rPr>
        <b/>
        <sz val="11"/>
        <color theme="1"/>
        <rFont val="Calibri"/>
        <family val="2"/>
        <scheme val="minor"/>
      </rPr>
      <t xml:space="preserve">Proficiency Level: </t>
    </r>
    <r>
      <rPr>
        <sz val="11"/>
        <color theme="1"/>
        <rFont val="Calibri"/>
        <family val="2"/>
        <scheme val="minor"/>
      </rPr>
      <t>Learner</t>
    </r>
  </si>
  <si>
    <t>Topic</t>
  </si>
  <si>
    <t>Sub Topic</t>
  </si>
  <si>
    <t>JavaScript Basics, DOM</t>
  </si>
  <si>
    <t>Sub Topics</t>
  </si>
  <si>
    <t>Setter Injection</t>
  </si>
  <si>
    <t>Constructor Injection</t>
  </si>
  <si>
    <t>Autowiring</t>
  </si>
  <si>
    <t>Injecting Collections</t>
  </si>
  <si>
    <t>Inheritance, Interfaces, Scope</t>
  </si>
  <si>
    <t>Inner Beans</t>
  </si>
  <si>
    <t>Plugins</t>
  </si>
  <si>
    <t>Running Maven Builds for a sample Spring Project</t>
  </si>
  <si>
    <t>Basic Tests using Junits</t>
  </si>
  <si>
    <t>Parameterized Tests</t>
  </si>
  <si>
    <t>Composing and running a test suite</t>
  </si>
  <si>
    <t>Refactoring code, using setup and teardown</t>
  </si>
  <si>
    <t>Refactoring code to improve code quality</t>
  </si>
  <si>
    <t>Initializing and Auto Configuring Spring Boot App</t>
  </si>
  <si>
    <t>Configuring Web App using Spring Boot</t>
  </si>
  <si>
    <t>Spring MVC Tag Libraries</t>
  </si>
  <si>
    <t>View Resolvers</t>
  </si>
  <si>
    <t>Controllers</t>
  </si>
  <si>
    <t>Internationalization</t>
  </si>
  <si>
    <t>Data Binding, Validation and Exception Handling</t>
  </si>
  <si>
    <t>MFRP</t>
  </si>
  <si>
    <t>Stage 3</t>
  </si>
  <si>
    <t>Bootstrap</t>
  </si>
  <si>
    <t>Bootstrap / Hands-on</t>
  </si>
  <si>
    <t>Practice check</t>
  </si>
  <si>
    <t>Design Mindset</t>
  </si>
  <si>
    <t>Data Structures and Algorithms</t>
  </si>
  <si>
    <t>Design Principles and Patterns</t>
  </si>
  <si>
    <t>Design Principles and Patterns - Hands-on</t>
  </si>
  <si>
    <t>Practice Check</t>
  </si>
  <si>
    <t>Final Check</t>
  </si>
  <si>
    <t>Academy Java FSE Track - Stage 3</t>
  </si>
  <si>
    <t>Java Skill Framework - ADM, AVM, FSE</t>
  </si>
  <si>
    <t>Design Patterns and Principles</t>
  </si>
  <si>
    <t>Algorithms</t>
  </si>
  <si>
    <t>Software Architecture, Data Structures and Algorithms, Design Principles, Patterns and Tools</t>
  </si>
  <si>
    <t>Bootstrap Fundamentals</t>
  </si>
  <si>
    <t>Responsive Web Design (RWD), Disadvantages of sites without RWD, Mobile First design, Bootstrap 4, emulate devices in Chrome Browser</t>
  </si>
  <si>
    <t>doctype, viewport meta tag and attributes, Bootstrap CDN</t>
  </si>
  <si>
    <t>Grid System</t>
  </si>
  <si>
    <t>Grid System, 12 columns, devices and corresponding prefix of bootstrap class, container, container-fluid, row, col-</t>
  </si>
  <si>
    <t>NAV Bar</t>
  </si>
  <si>
    <t>navbar, navbar-expand-lg, navbar-dark, bg-dark, navbar-brand</t>
  </si>
  <si>
    <t>navbar-nav, nav-item, nav-link</t>
  </si>
  <si>
    <t>navbar-toggler, navbar-toggler-icon, collapse, navbar-collapse, ml-auto</t>
  </si>
  <si>
    <t>Demonstrate troubleshooting UI issues using Chrome Developer Tools</t>
  </si>
  <si>
    <t>Element selection</t>
  </si>
  <si>
    <t>1) using Inspect</t>
  </si>
  <si>
    <t>2) selection tool in Developer Console</t>
  </si>
  <si>
    <t>3) Hovering over the elements in the HTML code within the "Element" section of Developer Tool</t>
  </si>
  <si>
    <t>Applying Styles directly using Developer Tools</t>
  </si>
  <si>
    <t>1) Add new style in the style window</t>
  </si>
  <si>
    <t>2) Disable an existing style using the checkbox</t>
  </si>
  <si>
    <t>3) Change value of an existing style</t>
  </si>
  <si>
    <t>Bootstrap Components</t>
  </si>
  <si>
    <t>badge, badge-primary</t>
  </si>
  <si>
    <t>Google Material Icon, Content Delivery Network (CDN), include icons in web page</t>
  </si>
  <si>
    <t>list-group, list-group-item</t>
  </si>
  <si>
    <t>card, card-title, card-body, card-text, change mouse cursor on hovering an icon</t>
  </si>
  <si>
    <t>Display a list of cards using grid system and thus enabling RWD</t>
  </si>
  <si>
    <t>gijgo, getting started, setting date format</t>
  </si>
  <si>
    <t>Develop form with textbox, password, drop down, date using gijgo, radio button and checkbox form-row, form-group, form-control, form-check, form-check-input, form-check-label, form-check-input</t>
  </si>
  <si>
    <t>Bootstrap Styles</t>
  </si>
  <si>
    <t>Separate CSS file for customization, overriding the styles of Bootstrap</t>
  </si>
  <si>
    <t>ORM (Object-Relational Mapping), makes it easier to develop code that interacts with database, abstracts the database system, transactionality</t>
  </si>
  <si>
    <t>Evolution of ORM solutions, Hibernate XML Configuration, Hibernate Annotation Configuration, Spring Data JPA, Hibernate benefits, open source, light weight, database independent query</t>
  </si>
  <si>
    <t>Session Factory, Session, Transaction Factory, Transaction, Connection Provider</t>
  </si>
  <si>
    <t>XML Configuration - persistence class, mapping xml, configuration xml, loading hibernate configuration xml file
Annotation Configuration - persistence class, @Entity, @Table, @Id, @Column, hibernate configuration xml file
Loading hibernate configuration and interacting with database
get the session factory, open session, begin transaction, commit transaction, close session</t>
  </si>
  <si>
    <t>JPA (Java Persistence API), JPA is a specification (JSR 338), JPA does not have implementation, Hibernate is one of the implementation for JPA, Hibernate is a ORM tool, Spring Data JPA is an abstraction above Hibernate to remove boiler plate code when persisting data using Hibernate.</t>
  </si>
  <si>
    <t>Hibernate log configuration and ddl-auto configuration, JpaRepsitory.findById(), defining Query Methods, JpaRespository.save(), JpaRepository.deleteById()</t>
  </si>
  <si>
    <t>Query Methods - Search by containing text, sorting, filter with starting text, fetch between dates, greater than or  lesser than, top</t>
  </si>
  <si>
    <t>@ManyToOne, @JoinColumn, @OneToMany, FetchType.EAGER, FetchType.LAZY, @ManyToMany, @JoinTable, mappedBy</t>
  </si>
  <si>
    <t>HQL stands for Hibernate Query Language, JPQL stands for Java Persistence Query Language, Compare HQL and JPQL, @Query annotation, HQL fetch keyword, aggregate functions in HQL, Native Query, nativeQuery attribute</t>
  </si>
  <si>
    <t>Scenarios where Criteria Query helps, CriteriaBuilder, Criteria Query, Root, TypedQuery</t>
  </si>
  <si>
    <t>ORM Basics</t>
  </si>
  <si>
    <t>Hibernate Basics</t>
  </si>
  <si>
    <t>ORM implementation with Hibernate XML Configuration and Annotation Configuration</t>
  </si>
  <si>
    <t>HQL</t>
  </si>
  <si>
    <t>Criteria</t>
  </si>
  <si>
    <t>Mapping, Persisting objects into database, Detatched Objects</t>
  </si>
  <si>
    <t>Divide and Conquer</t>
  </si>
  <si>
    <t>Sorting</t>
  </si>
  <si>
    <t>Analysis of Algorithms</t>
  </si>
  <si>
    <t>Array Traversal - Array representation in Memory, Measuring Time complexity, Searching, Traversal in Arrays, When to use Arrays</t>
  </si>
  <si>
    <t>Arrays</t>
  </si>
  <si>
    <t xml:space="preserve">Bubble, Insertion, Heap Sort, Quick Sort, Merge Sort
 - Worst, Average and Best Case analysis </t>
  </si>
  <si>
    <t>Linked List</t>
  </si>
  <si>
    <t>Single Linked List, Circular Single Linked List, Double Linked List, Circular Doube Linked List - Search, Inert, Traverse, Delete operations, Time complexity</t>
  </si>
  <si>
    <t>Stack and Queues</t>
  </si>
  <si>
    <t>Hashing</t>
  </si>
  <si>
    <t>Stack - Arrays and Linked Lists - Push, Pop, Peep, Delete
Queue - Linear and Circular Queues - enqueue, dequeue - Array and Linked Lists Implementation</t>
  </si>
  <si>
    <t>Binary Tree, Binary Search Tree, Binary Heap</t>
  </si>
  <si>
    <t>Tree, Traversals (In-order, pre-order, post-order), Binary Tree - Array and Linked Lists implementation
Sorting and Searching in BST
Create, Peek, Insert, Extract and Delete from Heap</t>
  </si>
  <si>
    <t>Hash Functions, Collision Resolution</t>
  </si>
  <si>
    <t>Exercises on converting one string to another, longest common subsequence, palindromes etc.</t>
  </si>
  <si>
    <t>Solid Principles</t>
  </si>
  <si>
    <t>SRP, OCP, DIP, LSP, ISP</t>
  </si>
  <si>
    <t>Design Patterns - Creational</t>
  </si>
  <si>
    <t>Singleton, Factory, Abstract Factory, Builder</t>
  </si>
  <si>
    <t>Design Patterns - Structural</t>
  </si>
  <si>
    <t>Design Patterns - Behavioral</t>
  </si>
  <si>
    <t>Adapter, Decorator, Bridge, Façade</t>
  </si>
  <si>
    <t>Stage 3 - Technical Scope</t>
  </si>
  <si>
    <t>Stage 4 - Technical Scope</t>
  </si>
  <si>
    <t>Spring REST</t>
  </si>
  <si>
    <t>Spring initializr, https://start.spring.io, @SpringBootApplication, SpringApplication.run()</t>
  </si>
  <si>
    <t>Makes Java development easy, avoids tedious development steps, reduces development time, avoids writing boilerplate code, provides embedded tomcat server, avoid XML configuration</t>
  </si>
  <si>
    <t>Spring configuration xml, spring xml schema spring-beans.xsd, &lt;bean&gt;, id, class, &lt;constructor-arg&gt;, &lt;property&gt;, name, value, ClassPathXmlApplicationContext, ApplicationContext, context.getBean(), singleton scope, prototype scope</t>
  </si>
  <si>
    <t>application.properties, logging.level, logging.pattern, server.port, LoggerFactory, Logger, log levels (trace, debug, info, warn, error)</t>
  </si>
  <si>
    <t>HTTP Request and Response, HTTP Request Format, HTTP Response Format, Request URL, Request Method, Content-Type, User-Agent</t>
  </si>
  <si>
    <t>The need to transfer data between heterogenous systems, disadvantages of SOAP, REST stands for REpresentational State Transfer, lightweight, maintainable, scalable, underlying protocol is HTTP; composed of resources, verbs, header, body, response status code, client-server technology</t>
  </si>
  <si>
    <t>DispatcherServlet, @RestController, @GetMapping, invoking get request from browser, invoking get request from postman, bean transformation to JSON, APIs for bean to JSON and vice versa, Jersey, Jackson, get method with parameter, return array, @PathVariable</t>
  </si>
  <si>
    <t>@AutoConfigureMockMvc, MockMvc, @Test, get(), perform(), andExpect(), status().isOk(), jsonPath().exists, jsonPath().value(), status().isBadRequest(), status().reason test execution in Eclipse, test execution in command line using maven</t>
  </si>
  <si>
    <t>Spring Boot Introduction for Spring REST</t>
  </si>
  <si>
    <t>REST Web Services Introduction</t>
  </si>
  <si>
    <t>Producing and Consuming REST services</t>
  </si>
  <si>
    <t>Introduction to cloud computing</t>
  </si>
  <si>
    <t>Cloud Introduction, Difference between on-premise server and cloud offerings - Server, Storage, Service, PAAS, SAAS. IAAS, Private cloud, Public cloud</t>
  </si>
  <si>
    <t>Fundamentals of AWS</t>
  </si>
  <si>
    <t>Global cloud infrastructure of AWS  (Regions, AZ), Cloud services -- Compute, Storage, Database, Container</t>
  </si>
  <si>
    <t>Deploying an application on AWS</t>
  </si>
  <si>
    <t>Learn how to automate a web application deployment using Services like Elastic Beanstalk. Create environment in AWS containing VPC, ELB, EC2 Instances, Subnets, Security groups …for deploying different web applications</t>
  </si>
  <si>
    <t>Introduction to Devops -- CI/CD  on cloud on AWS</t>
  </si>
  <si>
    <t>Introducing DevOps, CI/CD stack-- Code Commit, Code Build, Code Deploy, Code Pipeline, Code Star</t>
  </si>
  <si>
    <t>CI/CD hands on lab</t>
  </si>
  <si>
    <t>Docker</t>
  </si>
  <si>
    <t>Spring RESTful Web Services, server.port definition</t>
  </si>
  <si>
    <t>nginx, pull, run, listing images, container name, detaching the process, port number, volumes, listing containers, listing non running containers, starting and stoping a container, Dockerfile, FROM, COPY, ENTRYPOINT, build, remove images and containers</t>
  </si>
  <si>
    <t>docker-compose.yml, docker-compose up command, mapping MySQL data file to local folder, schema creation script execution definition, defining port, password definition, docker compose up, executing mysql client on the mysql server container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</si>
  <si>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</si>
  <si>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Microservices Basics, Monolithic to Microservices</t>
  </si>
  <si>
    <t>Introduction to Docker</t>
  </si>
  <si>
    <t>Hosting App using nginx, using command line and Dockerfile</t>
  </si>
  <si>
    <t>Hosting a MySQL database with schema creation using docker</t>
  </si>
  <si>
    <t>Hosting a REST API Microservice using docker</t>
  </si>
  <si>
    <t>Microservices and Docker</t>
  </si>
  <si>
    <t>Academy Java FSE Track - Stage 4</t>
  </si>
  <si>
    <t>DevOps, CI/CD on AWS</t>
  </si>
  <si>
    <t>Orchestration</t>
  </si>
  <si>
    <t>Stage 4</t>
  </si>
  <si>
    <t>Spring REST with Spring Boot</t>
  </si>
  <si>
    <t>Spring REST with Spring Boot - Hands-on</t>
  </si>
  <si>
    <t>Concepts</t>
  </si>
  <si>
    <t>Soft Skills</t>
  </si>
  <si>
    <t>Stage 3 (Internship Training - Traditional Classroom/OBL Model)</t>
  </si>
  <si>
    <t>Stage 2 (Internship Training - Flipped Classroom Model)</t>
  </si>
  <si>
    <t>Stage 1 (Internship Training - Flipped Classroom Model)</t>
  </si>
  <si>
    <t>Stage 4 (FTE Training - Traditional Classroom/OBL Model)</t>
  </si>
  <si>
    <t>Internship - FSE Java Track</t>
  </si>
  <si>
    <t>Stage #</t>
  </si>
  <si>
    <t>Duration in Weeks</t>
  </si>
  <si>
    <t>Internship</t>
  </si>
  <si>
    <t>Operations + Assimilation + Buffer</t>
  </si>
  <si>
    <t>Overall FSE Java Duration</t>
  </si>
  <si>
    <t>Chain of Responsibility, Command,  Mediator, Observer, Iterator, Strategy, State</t>
  </si>
  <si>
    <t>Design Patterns Introduction</t>
  </si>
  <si>
    <t>Need and Benefits of Design Patterns</t>
  </si>
  <si>
    <t>Introduction, Why DS&amp; Algorithm, Types of DS, Notations, Time and Space Complexity, Start using frameworks for describing and analyzing algorithms.
Begin using asymptotic notation to express running-time analysis.
Asymptotic notations for run-time analysis of algorithms
Best Case, Average Case, Worst case analysis of an algorithm
Finding Time Complexity of few iterative and recursive algorithms</t>
  </si>
  <si>
    <t>Spring AOP</t>
  </si>
  <si>
    <t>Spring JDBC and Transactions</t>
  </si>
  <si>
    <t>Executing Queries, Transaction Management</t>
  </si>
  <si>
    <t>Spring Boot CLI and Initializing a Spring Boot Project - Working with Spring Boot Starters
Overriding auto-configured beans
"Reducing code with custom auto configurations 
 - @EnableAutoConfiguration
 - writing own custom auto configuration"
Configuring with external properties
Customizing Error Pages
Spring Boot Dependency Management</t>
  </si>
  <si>
    <t>HTTP method types (GET, POST, PUT, DELETE), REST service URL naming guidelines, @RequestMapping, @GetMapping, @PostMapping, @PutMapping, @DeleteMapping, setting POST request payload and invoking the REST service in Postman and curl, JSON to bean mapping, @RequestBody, validating input request using javax.validation and hibernate validators, @Size, @NotNull, @NotBlank, @Min, @Max, @JsonFormat, @Valid, global exception handling, handle number formatting errors, HTTP Caching,
Retrieving LIST in REST, Writing a RESTful Web Services with JSON</t>
  </si>
  <si>
    <t>Dependency Injection</t>
  </si>
  <si>
    <t>Maven (Local, Remote and Central Repo)
Setup Maven 
Manage Repositories and Dependency 
Management
Managing dependent libraries, building and deploying project, create package (jar or war)
Integrate Maven with Eclipse
Manage testing and deployment options</t>
  </si>
  <si>
    <t>Maven Basics</t>
  </si>
  <si>
    <t>Run Maven Builds</t>
  </si>
  <si>
    <t>Navigation tags, hyper link, reference to intermediate section</t>
  </si>
  <si>
    <t>CSS3 Selectors - Universal Selector, Element Type Selector, Id Selectors, Class Selectors, Grouping Selectors</t>
  </si>
  <si>
    <t xml:space="preserve">Build life cycle  </t>
  </si>
  <si>
    <r>
      <t>REST Web Service architecture with Controller, Service and Dao, service methods, invoking service using http client in Spring MVC, cross origin, Errors and Exception Handling, Writing a REST Client,</t>
    </r>
    <r>
      <rPr>
        <sz val="10"/>
        <color rgb="FF00B0F0"/>
        <rFont val="Calibri"/>
        <family val="2"/>
        <scheme val="minor"/>
      </rPr>
      <t xml:space="preserve"> Modifying Response Formats (Content negotiation), Building custom response using Response Entity.</t>
    </r>
    <r>
      <rPr>
        <sz val="10"/>
        <color rgb="FF000000"/>
        <rFont val="Calibri"/>
        <family val="2"/>
        <scheme val="minor"/>
      </rPr>
      <t xml:space="preserve">
</t>
    </r>
  </si>
  <si>
    <t>Containers</t>
  </si>
  <si>
    <t>Introduction to Containers. Containers vs VM</t>
  </si>
  <si>
    <t>CI/CD in AWS</t>
  </si>
  <si>
    <t xml:space="preserve">Introducing devops (CI/CD) on AWS </t>
  </si>
  <si>
    <t>Running PMD rulesets for checking Code Quality</t>
  </si>
  <si>
    <t>Use Checkstyle, SONAR, Findbugs, FxCopAnalyzers</t>
  </si>
  <si>
    <t>HTLM5</t>
  </si>
  <si>
    <t>HTML5 - Introduction</t>
  </si>
  <si>
    <t>Need and Benefits of HTML, Setup, Browser, BOM and DOM, DOCTYPE, Character Encoding, &lt;script&gt; , &lt;link&gt;, , HTML5 Document, Comments</t>
  </si>
  <si>
    <t>HTML5 - Getting Started</t>
  </si>
  <si>
    <t>Visual Studio Code features, Google Chrome Developer tools, Inspect document</t>
  </si>
  <si>
    <t>HTML5 - Elements &amp; Attributes</t>
  </si>
  <si>
    <t>Formatting Tags, List, Table, Form &amp; Input Tags, Images, Styles, placeholder, inline and block elements, id vs class attributes</t>
  </si>
  <si>
    <t>HTML5 - Navigation</t>
  </si>
  <si>
    <t>HTML5 - Events</t>
  </si>
  <si>
    <t>onblur, onchange, onclick, form related events, load events, key events, mouse events, ondblclick, onbeforeonload, oncanplay</t>
  </si>
  <si>
    <t>HTML5 - Web Forms 2.0
HTML5 - Web Storage
HTML5 - Web SQL Database</t>
  </si>
  <si>
    <t xml:space="preserve"> &lt;input&gt; element in HTML5,  &lt;output&gt;, placeholder attribute, autofocus, required
Session storage, local storage and Delete web storage
openDatabase, transaction, transaction</t>
  </si>
  <si>
    <t>HTML5 - Geo location</t>
  </si>
  <si>
    <t>Geolocation Methods, Location Properties, Handling Errors, Position Options</t>
  </si>
  <si>
    <t>CSS3 - Introduction</t>
  </si>
  <si>
    <t>Need and Benefits of CSS, Setup, CSS Syntax, CSS Comments, Including CSS in HTML Documents(Inline styles, Embedded styles, External style sheets)</t>
  </si>
  <si>
    <t>CSS3 - Selectors</t>
  </si>
  <si>
    <t>CSS3 - Styling</t>
  </si>
  <si>
    <t>CSS Color, CSS Background, CSS Fonts, CSS Text, CSS Links, CSS Lists, CSS Tables</t>
  </si>
  <si>
    <t>CSS3 - Box Model</t>
  </si>
  <si>
    <t>CSS Box Model, Margin, padding, border, Outline, Visibility vs. Display, Multiple Columns</t>
  </si>
  <si>
    <t>CSS3 - Advanced</t>
  </si>
  <si>
    <t>Media Queries, RWD</t>
  </si>
  <si>
    <t>JavaScript Fundamemtals</t>
  </si>
  <si>
    <t>Variables, Datatypes, Type Conversions, Operators, Comparisons, Interactions, Loops, Functions, Function expression, Control Flow, Conditionals</t>
  </si>
  <si>
    <t>Javascript Deep Dive</t>
  </si>
  <si>
    <t>Array, String, Date, Math, Number, Boolean, Functions, JSON, Regular Expression</t>
  </si>
  <si>
    <t>Objects, Arrays and Functions, JSON</t>
  </si>
  <si>
    <t>SQL Scripting</t>
  </si>
  <si>
    <t>Introduction to Databases</t>
  </si>
  <si>
    <t>Introduction to SQL/NoSQL, Advantages and Disadvantages</t>
  </si>
  <si>
    <t>Connecting to the Database, Normalization Forms</t>
  </si>
  <si>
    <t>Table and Views</t>
  </si>
  <si>
    <t>Basic CRUD operations, Functions, Expressions and Clauses</t>
  </si>
  <si>
    <t>DDL, DML, Query and Operations, Clauses, Aggregate Functions, String Functions, GROUP BY, Having, Rank Functions</t>
  </si>
  <si>
    <t>Joins and Subqueries</t>
  </si>
  <si>
    <t>Joins, Sub queries</t>
  </si>
  <si>
    <t>Core Java Fundamentals</t>
  </si>
  <si>
    <t>Object Oriented Programming Concepts</t>
  </si>
  <si>
    <t>Principles of OOP, Inheritance, Polymorphism, Classes, Methods, Coupling and Cohesion, Abstraction, Encapsulation, Constructors</t>
  </si>
  <si>
    <t>Packages, Interfaces, Abstract Classes, Inner Classes</t>
  </si>
  <si>
    <t>Overloading, Overriding, Abstract Classes, Implementing Interfaces, Access Protection, Using this, super and final, Object Class, Inner Classes, Anonymous Inner Classes, Method-Local Inner Classes, Static Nested Classes</t>
  </si>
  <si>
    <t>Exception Handling</t>
  </si>
  <si>
    <t>Handling Exceptions, Propagating and Catching Exceptions, Uncaught Exceptions, Subclassing Exceptions, try, catch, throw, throws, finally</t>
  </si>
  <si>
    <t>Strings, I/O, Collections and Generics, Date/Time API, Standard Libraries (java.lang, java.util)</t>
  </si>
  <si>
    <t>String, StringBuilder, StringBuffer, StringTokenizer, File Navigation and I/O (java.io), Numbers, Calendar, Locale, Scanner, ResourceBundle and Currency, Parsing, Tokenizing, Formatting, Collection Interfaces, Collection Classes, Iterators, Comparators, Generic and Non-Generic Collections, Primitive Wrappers, Comparable Interface, Math, ClassLoader, System, Process, Runtime,
LocalDate, LocalTime,LocalDateTime, Instant, Duration, Period, TemporalAdjusters</t>
  </si>
  <si>
    <t>Core Java Deep Dive</t>
  </si>
  <si>
    <t>Multithreading, Sorting in Java</t>
  </si>
  <si>
    <t>Creating a Thread, Suspending, Resuming and Stopping Threads, Serial and Parallel Sorts in Java</t>
  </si>
  <si>
    <t>JDBC</t>
  </si>
  <si>
    <t>Create Connection, Query, Update</t>
  </si>
  <si>
    <t>Lambda Expressions</t>
  </si>
  <si>
    <t>Lambda expressions (with Single parameter, multiple parameters, return type, collections, forEach, Multiple statements, without return type), Reference to a static method, Reference to an instance method, Reference to a constructor, Usage of Functional interfaces and default methods</t>
  </si>
  <si>
    <t>Streams and Optionals</t>
  </si>
  <si>
    <t>Aspect Oriented Programming (AOP) using Spring AOP and AspectJ</t>
  </si>
  <si>
    <t>Reading values from Property Files</t>
  </si>
  <si>
    <t>PropertyPlaceholderConfigurer , ResourceBundleMessageSource</t>
  </si>
  <si>
    <t>Build life cycle,
Using environment variables JAVA_HOME, MAVEN_HOME, PATH, mvn -version
Create, build and deploy a maven project (Using Eclipse and Command Line)
Various aspects available in pom.xml - groupId, artifactId, version, packaging, dependencies, dependency scope (compile, provided, runtime, test, system), properties</t>
  </si>
  <si>
    <t>Junits</t>
  </si>
  <si>
    <t>Unit Testing Fundamentals</t>
  </si>
  <si>
    <t>TDD Fundamentals</t>
  </si>
  <si>
    <t>Environment Setup, Assertions, Execution Procedure, Executing Tests</t>
  </si>
  <si>
    <t>Code Quality</t>
  </si>
  <si>
    <t>Practice to generate the code quality report with no errors and minimum warnings</t>
  </si>
  <si>
    <t>Spring MVC Fundamentals</t>
  </si>
  <si>
    <t>Introduction to Application Servers (Tomcat)</t>
  </si>
  <si>
    <t xml:space="preserve"> JSP, Servlets, JSTL</t>
  </si>
  <si>
    <t>Spring Cloud</t>
  </si>
  <si>
    <t>Container Introduction, Container architecture, Overview of Docker, Docker architecture
Docker file
Working with containers
Container Communication
Docker Compose
open source; create, deploy and run applications in containers; 
package application; virtual machine; image; container</t>
  </si>
  <si>
    <t>Kubernetes - Container Orchestration</t>
  </si>
  <si>
    <t>Introduction to Kubernetes</t>
  </si>
  <si>
    <t>Kubernetes Demonstration</t>
  </si>
  <si>
    <t>Deploy the container image created earlier on A Kubernetes cluster. Use an open source framework like Minikube for a standalone deployment</t>
  </si>
  <si>
    <t>What,  Why and Features of Kubernetes, Kubernetes Architecture
Kubernetes Cluster, Master, Node
Kubernetes Architecture 
Kubernetes Basics Modules ( Create a Kubernetes Cluster, Deploy an App, Explore your App, Expose your app publicly, Scale up your App, Update your app)</t>
  </si>
  <si>
    <t>Kubernetes Cluster, Master, Node</t>
  </si>
  <si>
    <t>CI/CD with AWS Code services.</t>
  </si>
  <si>
    <t>CI/CD with microservices deployed on ECS/EKS</t>
  </si>
  <si>
    <t>Setup Codepipeline within the AWS environment that will automate the build &amp; deployment of microservices containers on ECS / EKS. Developers will write / enhance microservices &amp; commit it to the source control repository. They will then watch how the CI/CD is automatically executed without downtime to the existing service                                                                                           TASKS:                                                                                                                1. Setting up code repository for microservices                                            2. Infrastructure automation setup                                                          3. Infrastructure creation using automation scripts                                      4. Use the CI/CD infrastructure &amp; check automated build, deploy of artifacts on the container instances. Eg for ECS, the build should create a container image of  a microservice &amp; push it to the ECR repository, The deploy should deploy the container images on the ECS cluster having a task definition, Service, Target group                                                                                                                5. The above process should be repeated so that any changes to the source code will result in the containers being automatically updated to reflect the new change</t>
  </si>
  <si>
    <t>AWS, CI/CD</t>
  </si>
  <si>
    <t>Stage 1 - Technical Scope</t>
  </si>
  <si>
    <t>Stage 2 - Technical Scope</t>
  </si>
  <si>
    <t>Should be able to develop simple user interfaces of a web application
Should be able to apply HTML5 Elements and Attributes, Navigation, Events, Geo Location in a web application
Should be able to interpret the functional requirements and low level design and develop simple level coding components
Should be able to fix simple issues/defects in web UI layer with minimum support
Should be able to develop a simple component or module using Java language, following a component design specification
Should be able to demonstrate the Object Orientated Programming Concepts, Packages, Interfaces, Abstract Classes, Inner Classes
Should be able to analyze and implement the Exception Handling, Strings, I/O, Collections and Generics, Standard Libraries (java.lang, java.util)
Should be able to use Multithreading for a simple scenario
Should be able to use JDBC to access DB and perform basic operation
Should be able to apply Java 8 features Lambda Expressions
Should be able to use the Java 8 feature, Method references in the programming
Should be able to use the concepts of Functional Interfaces, Default methods
Should be able to apply Streaming API in programming concepts
Should be able to use Optional class in programming concepts
Should be able to explain the concepts of Parallel sort in programming
Should be able to use the Java 8 feature, Date/Time API in the programming
Should be able to interpret the entities and relationships and create simple tables in database
Should be able to describe relationships between tables and write simple queries to retrieve data from the database
Should be able to perform CRUD operations using various types of statements, joins, subqueries</t>
  </si>
  <si>
    <t>Should be able to apply Dependency Injection in a scenario
Should be able to describe Spring AOP
Should be able to use Property Files
Should be able to use Spring JDBC and Transactions for a simple scenario
Should be able to write simple  unit test cases  for a Java Module
Should be able to apply annotation based controller configuration
Should be able to implement resolvers
Should be able to implement unit testing using Junit Framework
Should be able to use simple MVC components for coding the presentation layer of a module using Spring Framework
Should be able to Initialize a Spring Boot Project
Should be able to continuously build a simple application using Maven
Should be able to manage Repositories and Dependency Management
Should be able to fix simple issues in a simple component of a Spring MVC based application</t>
  </si>
  <si>
    <t>Kubernetes</t>
  </si>
  <si>
    <t>AWS, Spring Cloud</t>
  </si>
  <si>
    <t>Total Curriculum Duration in weeks</t>
  </si>
  <si>
    <t>BEH</t>
  </si>
  <si>
    <t>Org Mandates</t>
  </si>
  <si>
    <t>Total Curriculum Duration excluding Org Mandatory Courses</t>
  </si>
  <si>
    <t>Org Mandatory Courses (Saturdays)</t>
  </si>
  <si>
    <t>1. Name of the track</t>
  </si>
  <si>
    <t xml:space="preserve">2. Category (Technical/Domain/Behavioral): </t>
  </si>
  <si>
    <t>Technical and Behavioral</t>
  </si>
  <si>
    <t xml:space="preserve">3.  Outcome Expected </t>
  </si>
  <si>
    <t>Delivery Readiness according to Performance Outcomes detailed in this file (Refer "Performance Outcomes" sheet</t>
  </si>
  <si>
    <t>4.  Measureable units of the outcome</t>
  </si>
  <si>
    <t>Metrics as defined in "Performance Outcomes" sheet</t>
  </si>
  <si>
    <t xml:space="preserve">5. Who are the target audience? </t>
  </si>
  <si>
    <t>CDE Interns/GENCs aspiring for 'Software Engineer Trainee' role in CDE career lattice</t>
  </si>
  <si>
    <t>FSE - SET Role | Java Curriculum</t>
  </si>
  <si>
    <t xml:space="preserve">Microservices </t>
  </si>
  <si>
    <t>In the Module List, all the red highlighted rows are mandatory gating assessments, in which the students must get greater than 70%</t>
  </si>
  <si>
    <t>6. What are the gating assessments and benchmark for the curriculum?</t>
  </si>
  <si>
    <t>6. What is the gating criteria for SET role?</t>
  </si>
  <si>
    <t>FSE Java</t>
  </si>
  <si>
    <t>Using Mockito - Mocking a database, expecting calls, exception handling, callbacks, resetting mock, timeouts</t>
  </si>
  <si>
    <t>Continuous Code Quality using SONAR</t>
  </si>
  <si>
    <t>Logging, and Continuous Code Quality</t>
  </si>
  <si>
    <t>SLF4J - Env Setup, Sample Logging</t>
  </si>
  <si>
    <t>SLF4j - error messages, warning levels, parameterized logging, different appenders</t>
  </si>
  <si>
    <t>Lombok - Configuring Project using Lombok</t>
  </si>
  <si>
    <t>SLF4J, Lombok</t>
  </si>
  <si>
    <t>Logging using Lombok annotations</t>
  </si>
  <si>
    <t>SLF4J vs. Log4J vs. Lombok</t>
  </si>
  <si>
    <t>Sonar architecture - how it works? SonarQube client and Server, Sonar Database</t>
  </si>
  <si>
    <t>Use SonarQube to find the following:
Finding Duplicate Code, Cyclomatic Complexity, Sphagetti Design, Lack of Unit Tests, Improper Coding Standards, Potential Bugs, Insufficient Comments</t>
  </si>
  <si>
    <t>Interpreting Sonar Logs</t>
  </si>
  <si>
    <t>Clean as you code - SONAR Intro, benefits</t>
  </si>
  <si>
    <t>Using SonarQube with Maven - Update connect URLs, Proxies in POM</t>
  </si>
  <si>
    <t>Running Maven Sonar Goals for Static Code Analysis</t>
  </si>
  <si>
    <t>PMD, Checkstyle, FindBugs</t>
  </si>
  <si>
    <t>Spring Security using OAuth2 and JSON Web Tokens (JWT)</t>
  </si>
  <si>
    <t>Introduction to OAuth2, Spring Security for OAuth2, 
Steps Involved in User Authentication,
Auth Server, Resource Server, JWT tokens
Configuring Libraries in Maven 
Create Oauth Config Class to define secret keys, public private keys , token validity and scopes
Write a Spring Boot RESt application, use Auth and Resource Servers
Try triggering REST requests with and without valid tokens and checking response</t>
  </si>
  <si>
    <t>Distributed/versioned configuration
Service registration and discovery
Routing
Service-to-service calls
Load balancing
Circuit Breakers
Distributed messaging
Using the above concepts:
1. Decompose the monolith application built earlier into micrroservices                                                                                                   2. Write the microservices using Spring Boot. Expose each as a REST service
3. Demonstrate features of spring cloud like API Gateway, Load balancer, Circuit breaker, Service discovery for microservices used to address the challenges of a distributed architecture
4. Securing Microservices with Security</t>
  </si>
  <si>
    <t>JPA, Hibernate, Spring Data Access JPA with Spring Boot</t>
  </si>
  <si>
    <t>Logging and Continuous Code Quality</t>
  </si>
  <si>
    <t>Slf4j and Lombok</t>
  </si>
  <si>
    <t>SonarQube</t>
  </si>
  <si>
    <t>Spring REST with Spring Security using Spring Boot</t>
  </si>
  <si>
    <t>JPA, Hibernate, Spring Data JPA</t>
  </si>
  <si>
    <t>Hibernate,  Spring Data JPA</t>
  </si>
  <si>
    <t>Hibernate, Spring Data JPA - Practice / Hands-on</t>
  </si>
  <si>
    <t>Practice check in Spring Data JPA</t>
  </si>
  <si>
    <t>Final check in Spring Data JPA</t>
  </si>
  <si>
    <t>MSA with Spring Security using Spring Cloud</t>
  </si>
  <si>
    <t>AWS Intro, CI/CD, Containerization</t>
  </si>
  <si>
    <t>Container Orchestration</t>
  </si>
  <si>
    <t>Cloud Lite Project</t>
  </si>
  <si>
    <t>BU Project</t>
  </si>
  <si>
    <t>Cloud Project</t>
  </si>
  <si>
    <t>TDD, Unit Testing with Mockito,Code Quality</t>
  </si>
  <si>
    <t>TDD, Unit Testing with Mockito,Code Quality Practice / Hands-on</t>
  </si>
  <si>
    <t>Code Challenge(TDD, Unit Testing)</t>
  </si>
  <si>
    <t>Mock CDE Rank</t>
  </si>
  <si>
    <t>Data Structures and Algorithms, Problem Solving</t>
  </si>
  <si>
    <t>Data Structures and Algorithms, Problem Solving - Hands-on</t>
  </si>
  <si>
    <r>
      <t xml:space="preserve">Java Stream vs. Collection, Different ways to create streams(Stream.of(), List.stream(), Stream.generate() or Stream.iterate(),String chars or String tokens),Convert streams to collections,
Intermediate Operations (filter(),map(),flatMap(),distinct(),sorted(),peek(),limit(),skip())
Terminal Operations (forEach(),forEachOrdered(),toArray(),reduce(),collect(),min(),max(),count(),anyMatch(),allMatch(),noneMatch(),findFirst(),findAny()), Parallelism in Java Stream
Optional.empty(), Optional.of(), Optional.ofNullable(), ifPresent(), isPresent(), orElse(), orElseThrow(), filter()
</t>
    </r>
    <r>
      <rPr>
        <sz val="10"/>
        <color rgb="FFFF0000"/>
        <rFont val="Calibri"/>
        <family val="2"/>
        <scheme val="minor"/>
      </rPr>
      <t>Asynchronous and Parallel Programming in Java 8
 - Threads, Completable Future, Future, Parallel Streams</t>
    </r>
  </si>
  <si>
    <t>Spring Security with Spring REST and Spring Boot</t>
  </si>
  <si>
    <t>Should be able to design simple components or refactor existing components by applying design principles and patterns
Should be able to write DAO layer with ORM concepts using Hibernate, Spring Data JPA
Should be able to perform basic CRUD operations using Hibernate, Spring Data JPA
Should be able to apply the concepts of Mapping in Spring Data JPA
Should be able to apply the concepts of Persistent Objects, HQL in Spring Data JPA
Should be able to use Lombok for slf4j logging
Should be able to use SONAR for analysing source code and fix the issues
Should be able to configure SONAR using Maven
Should be able to design web pages using RWD principles
Should be able to apply simple problems using algorithms and simple data structures</t>
  </si>
  <si>
    <t>Should be able to develop a simple REST web service using Spring Boot
Should be able to Demonstrate the concepts of Spring Boot, Components of RESTful Web Services  and REST Fundamentals
Should be able to develop Web Applications using REST End Points with Spring Boot
Should be able to write Test cases for testing a REST web service
Should be able to mock services and test a REST service
Should be able to explain the concepts of Distributed/versioned configuration
Should be able to use API gateway, Load Balancing , Fault Tolerance, Circuit Breaker, Service Broker
Should be able to explain distributed messaging Service
Should be able to convert a simple monolithic app to a Microservice
Should be able to use centralized Microservices Configuration with Spring Cloud
Should be able to secure microservices using JWT
Should be able to explain on how to containerize a web app using Docker
Should be able to describe various services of AWS
Should be able to Explain Cloud computing basics and principles
Should be able to Explain the Microservices Design Principles
Should be able to Explain the Container Concepts
Should be able to Use the Container Management - use the existing container environment and deploy the container in cloud
Should be able to deploy a simple application in AWS using already laid out CI/CD pipeline
Should be able to describe the concepts of DevOps, CI/CD
Should be able to deploy the Microservice in AWS cloud platform
Should be able to explain the benefits of container orchestration using Kubernetes</t>
  </si>
  <si>
    <t>Junit, Mockito</t>
  </si>
  <si>
    <t>Hibernate, Spring Data JPA</t>
  </si>
  <si>
    <t>SONAR Qube, Lombok Logging</t>
  </si>
  <si>
    <t>Security</t>
  </si>
  <si>
    <t>Spring Security with Spring Boot, JWT</t>
  </si>
  <si>
    <t>Testing Restful Webservices uisng Mock MVC</t>
  </si>
  <si>
    <t>CDE Rank</t>
  </si>
  <si>
    <t>CDE RANK PREPARATION and CDE RANK</t>
  </si>
  <si>
    <t>NA</t>
  </si>
  <si>
    <t>Agile Workshop and DevOPs</t>
  </si>
  <si>
    <t>ILT &amp; ELearning</t>
  </si>
  <si>
    <t>CDE RANK</t>
  </si>
</sst>
</file>

<file path=xl/styles.xml><?xml version="1.0" encoding="utf-8"?>
<styleSheet xmlns="http://schemas.openxmlformats.org/spreadsheetml/2006/main">
  <fonts count="29">
    <font>
      <sz val="11"/>
      <color theme="1"/>
      <name val="Calibri"/>
      <family val="2"/>
      <scheme val="minor"/>
    </font>
    <font>
      <sz val="10"/>
      <color theme="1"/>
      <name val="Calibri"/>
      <family val="2"/>
      <scheme val="minor"/>
    </font>
    <font>
      <b/>
      <sz val="8"/>
      <color theme="0"/>
      <name val="Calibri"/>
      <family val="2"/>
      <scheme val="minor"/>
    </font>
    <font>
      <b/>
      <sz val="10"/>
      <color theme="0"/>
      <name val="Calibri"/>
      <family val="2"/>
      <scheme val="minor"/>
    </font>
    <font>
      <b/>
      <sz val="11"/>
      <color rgb="FFFF0000"/>
      <name val="Calibri"/>
      <family val="2"/>
      <scheme val="minor"/>
    </font>
    <font>
      <b/>
      <sz val="12"/>
      <color theme="0"/>
      <name val="Calibri"/>
      <family val="2"/>
      <scheme val="minor"/>
    </font>
    <font>
      <sz val="11"/>
      <color theme="1"/>
      <name val="Calibri"/>
      <family val="2"/>
      <scheme val="minor"/>
    </font>
    <font>
      <sz val="10"/>
      <name val="Arial"/>
      <family val="2"/>
    </font>
    <font>
      <b/>
      <sz val="11"/>
      <color theme="0"/>
      <name val="Calibri"/>
      <family val="2"/>
      <scheme val="minor"/>
    </font>
    <font>
      <b/>
      <sz val="11"/>
      <color theme="1"/>
      <name val="Calibri"/>
      <family val="2"/>
      <scheme val="minor"/>
    </font>
    <font>
      <sz val="10"/>
      <color theme="5" tint="-0.249977111117893"/>
      <name val="Calibri"/>
      <family val="2"/>
      <scheme val="minor"/>
    </font>
    <font>
      <sz val="10"/>
      <color rgb="FF000000"/>
      <name val="Calibri"/>
      <family val="2"/>
      <scheme val="minor"/>
    </font>
    <font>
      <sz val="11"/>
      <color theme="0"/>
      <name val="Calibri"/>
      <family val="2"/>
      <scheme val="minor"/>
    </font>
    <font>
      <sz val="10"/>
      <color rgb="FF000000"/>
      <name val="Calibri"/>
      <family val="2"/>
    </font>
    <font>
      <sz val="10"/>
      <name val="Calibri"/>
      <family val="2"/>
      <scheme val="minor"/>
    </font>
    <font>
      <sz val="10"/>
      <name val="Calibri"/>
      <family val="2"/>
    </font>
    <font>
      <i/>
      <sz val="10"/>
      <color theme="1"/>
      <name val="Calibri"/>
      <family val="2"/>
      <scheme val="minor"/>
    </font>
    <font>
      <i/>
      <sz val="11"/>
      <color theme="1"/>
      <name val="Calibri"/>
      <family val="2"/>
      <scheme val="minor"/>
    </font>
    <font>
      <b/>
      <i/>
      <sz val="10"/>
      <color theme="0"/>
      <name val="Calibri"/>
      <family val="2"/>
      <scheme val="minor"/>
    </font>
    <font>
      <b/>
      <sz val="10"/>
      <color theme="1"/>
      <name val="Calibri"/>
      <family val="2"/>
      <scheme val="minor"/>
    </font>
    <font>
      <sz val="10"/>
      <color rgb="FF00B0F0"/>
      <name val="Calibri"/>
      <family val="2"/>
      <scheme val="minor"/>
    </font>
    <font>
      <sz val="10"/>
      <color theme="0"/>
      <name val="Calibri"/>
      <family val="2"/>
      <scheme val="minor"/>
    </font>
    <font>
      <b/>
      <sz val="18"/>
      <color theme="2"/>
      <name val="Calibri"/>
      <family val="2"/>
      <scheme val="minor"/>
    </font>
    <font>
      <sz val="11"/>
      <color theme="4" tint="-0.499984740745262"/>
      <name val="Calibri"/>
      <family val="2"/>
      <scheme val="minor"/>
    </font>
    <font>
      <i/>
      <sz val="11"/>
      <color theme="0"/>
      <name val="Calibri"/>
      <family val="2"/>
      <scheme val="minor"/>
    </font>
    <font>
      <i/>
      <sz val="10"/>
      <color theme="0"/>
      <name val="Calibri"/>
      <family val="2"/>
      <scheme val="minor"/>
    </font>
    <font>
      <sz val="10"/>
      <color rgb="FFFF0000"/>
      <name val="Calibri"/>
      <family val="2"/>
      <scheme val="minor"/>
    </font>
    <font>
      <i/>
      <sz val="11"/>
      <name val="Calibri"/>
      <family val="2"/>
      <scheme val="minor"/>
    </font>
    <font>
      <i/>
      <sz val="10"/>
      <name val="Calibri"/>
      <family val="2"/>
      <scheme val="minor"/>
    </font>
  </fonts>
  <fills count="2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00B0F0"/>
        <bgColor indexed="64"/>
      </patternFill>
    </fill>
    <fill>
      <patternFill patternType="solid">
        <fgColor theme="3"/>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1"/>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rgb="FF002060"/>
        <bgColor indexed="64"/>
      </patternFill>
    </fill>
    <fill>
      <patternFill patternType="solid">
        <fgColor theme="3" tint="0.39997558519241921"/>
        <bgColor indexed="64"/>
      </patternFill>
    </fill>
    <fill>
      <patternFill patternType="solid">
        <fgColor theme="8" tint="-0.49998474074526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theme="4"/>
      </left>
      <right style="thin">
        <color theme="4"/>
      </right>
      <top style="thin">
        <color theme="4"/>
      </top>
      <bottom style="thin">
        <color theme="4"/>
      </bottom>
      <diagonal/>
    </border>
    <border>
      <left style="thin">
        <color indexed="64"/>
      </left>
      <right/>
      <top style="thin">
        <color theme="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s>
  <cellStyleXfs count="6">
    <xf numFmtId="0" fontId="0" fillId="0" borderId="0"/>
    <xf numFmtId="0" fontId="7" fillId="0" borderId="0"/>
    <xf numFmtId="0" fontId="6" fillId="0" borderId="0"/>
    <xf numFmtId="0" fontId="6" fillId="0" borderId="0"/>
    <xf numFmtId="0" fontId="6" fillId="0" borderId="0"/>
    <xf numFmtId="0" fontId="7" fillId="0" borderId="0"/>
  </cellStyleXfs>
  <cellXfs count="176">
    <xf numFmtId="0" fontId="0" fillId="0" borderId="0" xfId="0"/>
    <xf numFmtId="0" fontId="1" fillId="9" borderId="1" xfId="0" applyFont="1" applyFill="1" applyBorder="1" applyAlignment="1">
      <alignment wrapText="1"/>
    </xf>
    <xf numFmtId="0" fontId="1" fillId="9" borderId="1" xfId="0" applyFont="1" applyFill="1" applyBorder="1" applyAlignment="1">
      <alignment horizontal="center" wrapText="1"/>
    </xf>
    <xf numFmtId="0" fontId="2"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2" borderId="0" xfId="0" applyFont="1" applyFill="1" applyBorder="1" applyAlignment="1">
      <alignment horizontal="left" vertical="center" wrapText="1"/>
    </xf>
    <xf numFmtId="0" fontId="4" fillId="11" borderId="0" xfId="0" applyFont="1" applyFill="1"/>
    <xf numFmtId="0" fontId="1" fillId="3" borderId="2" xfId="0" applyFont="1" applyFill="1" applyBorder="1" applyAlignment="1">
      <alignment horizontal="left" vertical="center" wrapText="1"/>
    </xf>
    <xf numFmtId="0" fontId="1" fillId="0" borderId="0" xfId="0" applyFont="1" applyFill="1" applyBorder="1" applyAlignment="1">
      <alignment horizontal="left" wrapText="1"/>
    </xf>
    <xf numFmtId="0" fontId="3" fillId="14" borderId="1" xfId="0" applyFont="1" applyFill="1" applyBorder="1" applyAlignment="1">
      <alignment horizontal="left" vertical="center"/>
    </xf>
    <xf numFmtId="0" fontId="1" fillId="13" borderId="1" xfId="0" applyFont="1" applyFill="1" applyBorder="1" applyAlignment="1">
      <alignment horizontal="left" vertical="center" wrapText="1"/>
    </xf>
    <xf numFmtId="0" fontId="0" fillId="8" borderId="1" xfId="0" applyFill="1" applyBorder="1" applyAlignment="1">
      <alignment horizontal="left" vertical="center" wrapText="1"/>
    </xf>
    <xf numFmtId="0" fontId="3" fillId="12" borderId="1" xfId="0" applyFont="1" applyFill="1" applyBorder="1" applyAlignment="1">
      <alignment horizontal="left" vertical="center" wrapText="1"/>
    </xf>
    <xf numFmtId="0" fontId="3" fillId="14" borderId="1" xfId="0" applyFont="1" applyFill="1" applyBorder="1" applyAlignment="1">
      <alignment horizontal="center" vertical="center"/>
    </xf>
    <xf numFmtId="0" fontId="1" fillId="0" borderId="1" xfId="0" quotePrefix="1" applyFont="1" applyBorder="1" applyAlignment="1">
      <alignment horizontal="left" vertical="center" wrapText="1"/>
    </xf>
    <xf numFmtId="0" fontId="0" fillId="0" borderId="0" xfId="0" applyAlignment="1"/>
    <xf numFmtId="0" fontId="3" fillId="16" borderId="1" xfId="0" applyFont="1" applyFill="1" applyBorder="1" applyAlignment="1">
      <alignment wrapText="1"/>
    </xf>
    <xf numFmtId="0" fontId="1" fillId="17" borderId="1" xfId="0" applyFont="1" applyFill="1" applyBorder="1" applyAlignment="1">
      <alignment horizontal="left" wrapText="1"/>
    </xf>
    <xf numFmtId="0" fontId="1" fillId="18" borderId="1" xfId="0" applyFont="1" applyFill="1" applyBorder="1"/>
    <xf numFmtId="0" fontId="1" fillId="17" borderId="3" xfId="0" applyFont="1" applyFill="1" applyBorder="1" applyAlignment="1">
      <alignment horizontal="left" wrapText="1"/>
    </xf>
    <xf numFmtId="0" fontId="1" fillId="17" borderId="2" xfId="0" applyFont="1" applyFill="1" applyBorder="1" applyAlignment="1">
      <alignment horizontal="left" wrapText="1"/>
    </xf>
    <xf numFmtId="0" fontId="1" fillId="17" borderId="4" xfId="0" applyFont="1" applyFill="1" applyBorder="1" applyAlignment="1">
      <alignment horizontal="left" wrapText="1"/>
    </xf>
    <xf numFmtId="0" fontId="10" fillId="0" borderId="0" xfId="0" applyFont="1"/>
    <xf numFmtId="0" fontId="9" fillId="0" borderId="0" xfId="0" applyFont="1"/>
    <xf numFmtId="0" fontId="1" fillId="0" borderId="1" xfId="0" applyFont="1" applyBorder="1" applyAlignment="1">
      <alignment horizontal="center" vertical="center" wrapText="1"/>
    </xf>
    <xf numFmtId="0" fontId="1" fillId="3"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1" fillId="8"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 fillId="17" borderId="3" xfId="0" applyFont="1" applyFill="1" applyBorder="1" applyAlignment="1">
      <alignment horizontal="left" wrapText="1"/>
    </xf>
    <xf numFmtId="0" fontId="1" fillId="9" borderId="1" xfId="0" applyFont="1" applyFill="1" applyBorder="1" applyAlignment="1">
      <alignment horizontal="left" vertical="center" wrapText="1"/>
    </xf>
    <xf numFmtId="0" fontId="0" fillId="21" borderId="1" xfId="0" applyFill="1" applyBorder="1" applyAlignment="1">
      <alignment horizontal="left" vertical="center" wrapText="1"/>
    </xf>
    <xf numFmtId="0" fontId="1" fillId="21" borderId="1" xfId="0" applyFont="1" applyFill="1" applyBorder="1" applyAlignment="1">
      <alignment horizontal="left" vertical="center" wrapText="1"/>
    </xf>
    <xf numFmtId="0" fontId="1" fillId="0" borderId="1" xfId="0" applyFont="1" applyFill="1" applyBorder="1" applyAlignment="1">
      <alignment wrapText="1"/>
    </xf>
    <xf numFmtId="0" fontId="3" fillId="16" borderId="3" xfId="0" applyFont="1" applyFill="1" applyBorder="1" applyAlignment="1">
      <alignment wrapText="1"/>
    </xf>
    <xf numFmtId="0" fontId="1" fillId="17" borderId="2" xfId="0" applyFont="1" applyFill="1" applyBorder="1" applyAlignment="1">
      <alignment vertical="top" wrapText="1"/>
    </xf>
    <xf numFmtId="0" fontId="1" fillId="17" borderId="4" xfId="0" applyFont="1" applyFill="1" applyBorder="1" applyAlignment="1">
      <alignment vertical="top" wrapText="1"/>
    </xf>
    <xf numFmtId="0" fontId="0" fillId="0" borderId="0" xfId="0" applyAlignment="1">
      <alignment horizontal="left" vertical="top"/>
    </xf>
    <xf numFmtId="0" fontId="11" fillId="0" borderId="1" xfId="0" applyFont="1" applyFill="1" applyBorder="1" applyAlignment="1">
      <alignment vertical="top" wrapText="1"/>
    </xf>
    <xf numFmtId="0" fontId="1" fillId="0" borderId="1" xfId="0" applyFont="1" applyBorder="1" applyAlignment="1">
      <alignment wrapText="1"/>
    </xf>
    <xf numFmtId="0" fontId="14" fillId="0" borderId="1" xfId="0" applyFont="1" applyFill="1" applyBorder="1" applyAlignment="1">
      <alignment vertical="top" wrapText="1"/>
    </xf>
    <xf numFmtId="0" fontId="15" fillId="0" borderId="1" xfId="0" applyFont="1" applyFill="1" applyBorder="1" applyAlignment="1">
      <alignment vertical="top" wrapText="1"/>
    </xf>
    <xf numFmtId="0" fontId="0" fillId="0" borderId="1" xfId="0" applyBorder="1"/>
    <xf numFmtId="0" fontId="0" fillId="0" borderId="1" xfId="0" applyBorder="1" applyAlignment="1">
      <alignment horizontal="center"/>
    </xf>
    <xf numFmtId="0" fontId="1" fillId="0" borderId="1" xfId="0" applyFont="1" applyBorder="1"/>
    <xf numFmtId="0" fontId="1" fillId="0" borderId="1" xfId="0" applyFont="1" applyFill="1" applyBorder="1" applyAlignment="1">
      <alignment vertical="top" wrapText="1"/>
    </xf>
    <xf numFmtId="0" fontId="13" fillId="0" borderId="1" xfId="0" applyFont="1" applyFill="1" applyBorder="1" applyAlignment="1">
      <alignment vertical="top" wrapText="1"/>
    </xf>
    <xf numFmtId="0" fontId="1" fillId="0" borderId="0" xfId="0" applyFont="1" applyFill="1" applyBorder="1" applyAlignment="1">
      <alignment horizontal="left" vertical="center" wrapText="1"/>
    </xf>
    <xf numFmtId="0" fontId="1" fillId="2" borderId="0" xfId="0" applyFont="1" applyFill="1" applyBorder="1" applyAlignment="1">
      <alignment horizontal="left" wrapText="1"/>
    </xf>
    <xf numFmtId="0" fontId="17" fillId="22" borderId="1" xfId="0" applyFont="1" applyFill="1" applyBorder="1" applyAlignment="1">
      <alignment horizontal="left" vertical="center" wrapText="1"/>
    </xf>
    <xf numFmtId="0" fontId="16" fillId="22" borderId="1" xfId="0" applyFont="1" applyFill="1" applyBorder="1" applyAlignment="1">
      <alignment horizontal="left" vertical="center" wrapText="1"/>
    </xf>
    <xf numFmtId="0" fontId="9" fillId="0" borderId="1" xfId="0" applyFont="1" applyBorder="1"/>
    <xf numFmtId="0" fontId="9" fillId="0" borderId="1" xfId="0" applyFont="1" applyBorder="1" applyAlignment="1">
      <alignment horizontal="right"/>
    </xf>
    <xf numFmtId="0" fontId="14" fillId="0" borderId="1" xfId="0" applyFont="1" applyFill="1" applyBorder="1" applyAlignment="1">
      <alignment vertical="top" wrapText="1"/>
    </xf>
    <xf numFmtId="0" fontId="1" fillId="0" borderId="1" xfId="0" applyFont="1" applyFill="1" applyBorder="1" applyAlignment="1">
      <alignment horizontal="left" vertical="center"/>
    </xf>
    <xf numFmtId="0" fontId="11"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left" vertical="top" wrapText="1"/>
    </xf>
    <xf numFmtId="0" fontId="19" fillId="0" borderId="1" xfId="0" applyFont="1" applyFill="1" applyBorder="1" applyAlignment="1">
      <alignment horizontal="left" wrapText="1"/>
    </xf>
    <xf numFmtId="0" fontId="14" fillId="0" borderId="1" xfId="0" applyFont="1" applyBorder="1" applyAlignment="1">
      <alignment horizontal="left" vertical="top" wrapText="1"/>
    </xf>
    <xf numFmtId="0" fontId="1" fillId="0" borderId="1" xfId="0" applyFont="1" applyFill="1" applyBorder="1" applyAlignment="1">
      <alignment horizontal="left" wrapText="1"/>
    </xf>
    <xf numFmtId="0" fontId="14" fillId="0" borderId="1" xfId="0" applyFont="1" applyBorder="1" applyAlignment="1">
      <alignment horizontal="left" vertical="top"/>
    </xf>
    <xf numFmtId="0" fontId="14" fillId="0" borderId="1" xfId="0" applyFont="1" applyBorder="1" applyAlignment="1">
      <alignment horizontal="left" wrapText="1"/>
    </xf>
    <xf numFmtId="0" fontId="14" fillId="0" borderId="1" xfId="0" applyFont="1" applyBorder="1" applyAlignment="1">
      <alignment horizontal="left" vertical="center" wrapText="1"/>
    </xf>
    <xf numFmtId="0" fontId="14" fillId="0" borderId="1" xfId="0" applyFont="1" applyFill="1" applyBorder="1" applyAlignment="1">
      <alignment horizontal="left" vertical="center" wrapText="1"/>
    </xf>
    <xf numFmtId="0" fontId="14" fillId="0" borderId="1" xfId="0" applyFont="1" applyBorder="1" applyAlignment="1">
      <alignment wrapText="1"/>
    </xf>
    <xf numFmtId="0" fontId="13" fillId="0" borderId="6" xfId="0" applyFont="1" applyBorder="1" applyAlignment="1">
      <alignment vertical="top" wrapText="1"/>
    </xf>
    <xf numFmtId="0" fontId="1" fillId="0" borderId="6" xfId="0" applyFont="1" applyBorder="1" applyAlignment="1">
      <alignment vertical="top" wrapText="1"/>
    </xf>
    <xf numFmtId="0" fontId="13" fillId="0" borderId="6" xfId="0" applyFont="1" applyFill="1" applyBorder="1" applyAlignment="1">
      <alignment vertical="top" wrapText="1"/>
    </xf>
    <xf numFmtId="0" fontId="16" fillId="22" borderId="1" xfId="0" applyFont="1" applyFill="1" applyBorder="1" applyAlignment="1">
      <alignment horizontal="left" vertical="center" wrapText="1"/>
    </xf>
    <xf numFmtId="0" fontId="3" fillId="14" borderId="1" xfId="0" applyFont="1" applyFill="1" applyBorder="1" applyAlignment="1">
      <alignment horizontal="left" vertical="top" wrapText="1"/>
    </xf>
    <xf numFmtId="0" fontId="0" fillId="0" borderId="0" xfId="0" applyAlignment="1">
      <alignment horizontal="left" vertical="top" wrapText="1"/>
    </xf>
    <xf numFmtId="0" fontId="3" fillId="13" borderId="1" xfId="0" applyFont="1" applyFill="1" applyBorder="1" applyAlignment="1">
      <alignment horizontal="left" vertical="center" wrapText="1"/>
    </xf>
    <xf numFmtId="0" fontId="23" fillId="24" borderId="10" xfId="0" applyFont="1" applyFill="1" applyBorder="1" applyAlignment="1">
      <alignment horizontal="left" vertical="center"/>
    </xf>
    <xf numFmtId="0" fontId="0" fillId="25" borderId="9" xfId="0" applyFill="1" applyBorder="1"/>
    <xf numFmtId="0" fontId="23" fillId="24" borderId="11" xfId="0" applyFont="1" applyFill="1" applyBorder="1" applyAlignment="1">
      <alignment horizontal="left" vertical="center"/>
    </xf>
    <xf numFmtId="0" fontId="0" fillId="25" borderId="12" xfId="0" applyFill="1" applyBorder="1"/>
    <xf numFmtId="0" fontId="0" fillId="25" borderId="12" xfId="0" applyFill="1" applyBorder="1" applyAlignment="1">
      <alignment wrapText="1"/>
    </xf>
    <xf numFmtId="0" fontId="23" fillId="24" borderId="11" xfId="0" applyFont="1" applyFill="1" applyBorder="1" applyAlignment="1">
      <alignment horizontal="left" vertical="center" wrapText="1"/>
    </xf>
    <xf numFmtId="0" fontId="21" fillId="26" borderId="1" xfId="0" applyFont="1" applyFill="1" applyBorder="1" applyAlignment="1">
      <alignment horizontal="left" vertical="center" wrapText="1"/>
    </xf>
    <xf numFmtId="0" fontId="24" fillId="26" borderId="1" xfId="0" applyFont="1" applyFill="1" applyBorder="1" applyAlignment="1">
      <alignment horizontal="left" vertical="center" wrapText="1"/>
    </xf>
    <xf numFmtId="0" fontId="25" fillId="26" borderId="1" xfId="0" applyFont="1" applyFill="1" applyBorder="1" applyAlignment="1">
      <alignment horizontal="left" vertical="center" wrapText="1"/>
    </xf>
    <xf numFmtId="0" fontId="16" fillId="22" borderId="1" xfId="0" applyFont="1" applyFill="1" applyBorder="1" applyAlignment="1">
      <alignment horizontal="left" vertical="center" wrapText="1"/>
    </xf>
    <xf numFmtId="0" fontId="1" fillId="21" borderId="1" xfId="0" applyFont="1" applyFill="1" applyBorder="1" applyAlignment="1">
      <alignment horizontal="left" vertical="center" wrapText="1"/>
    </xf>
    <xf numFmtId="0" fontId="26" fillId="0" borderId="1" xfId="0" applyFont="1" applyBorder="1" applyAlignment="1">
      <alignment wrapText="1"/>
    </xf>
    <xf numFmtId="0" fontId="26" fillId="0" borderId="1" xfId="0" applyFont="1" applyFill="1" applyBorder="1" applyAlignment="1">
      <alignment horizontal="center" vertical="center"/>
    </xf>
    <xf numFmtId="0" fontId="1" fillId="17" borderId="4" xfId="0" applyFont="1" applyFill="1" applyBorder="1" applyAlignment="1">
      <alignment horizontal="left" vertical="top" wrapText="1"/>
    </xf>
    <xf numFmtId="0" fontId="1" fillId="0" borderId="1" xfId="0" applyFont="1" applyFill="1" applyBorder="1" applyAlignment="1">
      <alignment horizontal="center" vertical="center"/>
    </xf>
    <xf numFmtId="0" fontId="3" fillId="7" borderId="4" xfId="0" applyFont="1" applyFill="1" applyBorder="1" applyAlignment="1">
      <alignment horizontal="left" vertical="center" wrapText="1"/>
    </xf>
    <xf numFmtId="0" fontId="14" fillId="25" borderId="4" xfId="0" applyFont="1" applyFill="1" applyBorder="1" applyAlignment="1">
      <alignment horizontal="left" vertical="center" wrapText="1"/>
    </xf>
    <xf numFmtId="0" fontId="27" fillId="25" borderId="1" xfId="0" applyFont="1" applyFill="1" applyBorder="1" applyAlignment="1">
      <alignment horizontal="left" vertical="center" wrapText="1"/>
    </xf>
    <xf numFmtId="0" fontId="1" fillId="25" borderId="4" xfId="0" applyFont="1" applyFill="1" applyBorder="1" applyAlignment="1">
      <alignment horizontal="left" vertical="center" wrapText="1"/>
    </xf>
    <xf numFmtId="0" fontId="28" fillId="25" borderId="1" xfId="0" applyFont="1" applyFill="1" applyBorder="1" applyAlignment="1">
      <alignment horizontal="left" vertical="center" wrapText="1"/>
    </xf>
    <xf numFmtId="0" fontId="1" fillId="0" borderId="1" xfId="0" applyFont="1" applyFill="1" applyBorder="1" applyAlignment="1">
      <alignment horizontal="left" vertical="center"/>
    </xf>
    <xf numFmtId="0" fontId="11" fillId="0" borderId="1" xfId="0" applyFont="1" applyFill="1" applyBorder="1" applyAlignment="1">
      <alignment horizontal="center" vertical="top" wrapText="1"/>
    </xf>
    <xf numFmtId="0" fontId="22" fillId="23" borderId="8" xfId="0" applyFont="1" applyFill="1" applyBorder="1" applyAlignment="1">
      <alignment horizontal="center" vertical="center"/>
    </xf>
    <xf numFmtId="0" fontId="22" fillId="23" borderId="9" xfId="0" applyFont="1" applyFill="1" applyBorder="1" applyAlignment="1">
      <alignment horizontal="center" vertical="center"/>
    </xf>
    <xf numFmtId="0" fontId="0" fillId="25" borderId="11" xfId="0" applyFill="1" applyBorder="1" applyAlignment="1">
      <alignment horizontal="left" vertical="top" wrapText="1"/>
    </xf>
    <xf numFmtId="0" fontId="0" fillId="25" borderId="13" xfId="0" applyFill="1" applyBorder="1" applyAlignment="1">
      <alignment horizontal="left" vertical="top" wrapText="1"/>
    </xf>
    <xf numFmtId="0" fontId="0" fillId="0" borderId="1" xfId="0" applyBorder="1" applyAlignment="1">
      <alignment horizontal="center" vertical="center" wrapText="1"/>
    </xf>
    <xf numFmtId="0" fontId="12" fillId="16" borderId="1" xfId="0" applyFont="1" applyFill="1" applyBorder="1" applyAlignment="1">
      <alignment horizontal="center"/>
    </xf>
    <xf numFmtId="0" fontId="9" fillId="0" borderId="1" xfId="0" applyFont="1" applyBorder="1" applyAlignment="1">
      <alignment horizontal="center"/>
    </xf>
    <xf numFmtId="0" fontId="1" fillId="21" borderId="2" xfId="0" applyFont="1" applyFill="1" applyBorder="1" applyAlignment="1">
      <alignment horizontal="left" vertical="center" wrapText="1"/>
    </xf>
    <xf numFmtId="0" fontId="1" fillId="21" borderId="3" xfId="0" applyFont="1" applyFill="1" applyBorder="1" applyAlignment="1">
      <alignment horizontal="left" vertical="center" wrapText="1"/>
    </xf>
    <xf numFmtId="0" fontId="16" fillId="22" borderId="1" xfId="0" applyFont="1" applyFill="1" applyBorder="1" applyAlignment="1">
      <alignment horizontal="left" vertical="center" wrapText="1"/>
    </xf>
    <xf numFmtId="0" fontId="1" fillId="21" borderId="4" xfId="0" applyFont="1" applyFill="1" applyBorder="1" applyAlignment="1">
      <alignment horizontal="left" vertical="center" wrapText="1"/>
    </xf>
    <xf numFmtId="0" fontId="1" fillId="10" borderId="2" xfId="0" applyFont="1" applyFill="1" applyBorder="1" applyAlignment="1">
      <alignment horizontal="left" vertical="center" wrapText="1"/>
    </xf>
    <xf numFmtId="0" fontId="1" fillId="10" borderId="3" xfId="0" applyFont="1" applyFill="1" applyBorder="1" applyAlignment="1">
      <alignment horizontal="left" vertical="center" wrapText="1"/>
    </xf>
    <xf numFmtId="0" fontId="1" fillId="10" borderId="4"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3" fillId="7" borderId="2" xfId="0" applyFont="1" applyFill="1" applyBorder="1" applyAlignment="1">
      <alignment horizontal="left" vertical="center" wrapText="1"/>
    </xf>
    <xf numFmtId="0" fontId="3" fillId="7" borderId="3" xfId="0" applyFont="1" applyFill="1" applyBorder="1" applyAlignment="1">
      <alignment horizontal="left" vertical="center" wrapText="1"/>
    </xf>
    <xf numFmtId="0" fontId="3" fillId="7" borderId="4" xfId="0" applyFont="1" applyFill="1" applyBorder="1" applyAlignment="1">
      <alignment horizontal="left" vertical="center" wrapText="1"/>
    </xf>
    <xf numFmtId="0" fontId="5"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1" fillId="8"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1" fillId="21"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8" fillId="7" borderId="2" xfId="0" applyFont="1" applyFill="1" applyBorder="1" applyAlignment="1">
      <alignment horizontal="left" vertical="center" wrapText="1"/>
    </xf>
    <xf numFmtId="0" fontId="18" fillId="7" borderId="4" xfId="0" applyFont="1" applyFill="1" applyBorder="1" applyAlignment="1">
      <alignment horizontal="left" vertical="center" wrapText="1"/>
    </xf>
    <xf numFmtId="0" fontId="18" fillId="7" borderId="3" xfId="0" applyFont="1" applyFill="1" applyBorder="1" applyAlignment="1">
      <alignment horizontal="left" vertical="center" wrapText="1"/>
    </xf>
    <xf numFmtId="0" fontId="16" fillId="22" borderId="2" xfId="0" applyFont="1" applyFill="1" applyBorder="1" applyAlignment="1">
      <alignment horizontal="left" vertical="center" wrapText="1"/>
    </xf>
    <xf numFmtId="0" fontId="16" fillId="22" borderId="3" xfId="0" applyFont="1" applyFill="1" applyBorder="1" applyAlignment="1">
      <alignment horizontal="left" vertical="center" wrapText="1"/>
    </xf>
    <xf numFmtId="0" fontId="16" fillId="22" borderId="4" xfId="0" applyFont="1" applyFill="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top" wrapText="1"/>
    </xf>
    <xf numFmtId="0" fontId="1" fillId="2" borderId="1" xfId="0" quotePrefix="1" applyFont="1" applyFill="1" applyBorder="1" applyAlignment="1">
      <alignment horizontal="left" vertical="center" wrapText="1"/>
    </xf>
    <xf numFmtId="0" fontId="3" fillId="15" borderId="0" xfId="0" applyFont="1" applyFill="1" applyBorder="1" applyAlignment="1">
      <alignment horizontal="center"/>
    </xf>
    <xf numFmtId="0" fontId="1" fillId="17" borderId="2" xfId="0" applyFont="1" applyFill="1" applyBorder="1" applyAlignment="1">
      <alignment horizontal="left" wrapText="1"/>
    </xf>
    <xf numFmtId="0" fontId="1" fillId="17" borderId="4" xfId="0" applyFont="1" applyFill="1" applyBorder="1" applyAlignment="1">
      <alignment horizontal="left" wrapText="1"/>
    </xf>
    <xf numFmtId="0" fontId="1" fillId="17" borderId="2" xfId="0" applyFont="1" applyFill="1" applyBorder="1" applyAlignment="1">
      <alignment horizontal="left" vertical="center" wrapText="1"/>
    </xf>
    <xf numFmtId="0" fontId="1" fillId="17" borderId="3" xfId="0" applyFont="1" applyFill="1" applyBorder="1" applyAlignment="1">
      <alignment horizontal="left" vertical="center" wrapText="1"/>
    </xf>
    <xf numFmtId="0" fontId="1" fillId="17" borderId="2" xfId="0" applyFont="1" applyFill="1" applyBorder="1" applyAlignment="1">
      <alignment horizontal="left" vertical="top" wrapText="1"/>
    </xf>
    <xf numFmtId="0" fontId="1" fillId="17" borderId="3" xfId="0" applyFont="1" applyFill="1" applyBorder="1" applyAlignment="1">
      <alignment horizontal="left" vertical="top" wrapText="1"/>
    </xf>
    <xf numFmtId="0" fontId="1" fillId="17" borderId="4"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17" borderId="3" xfId="0" applyFont="1" applyFill="1" applyBorder="1" applyAlignment="1">
      <alignment horizontal="left" wrapText="1"/>
    </xf>
    <xf numFmtId="0" fontId="0" fillId="17" borderId="3" xfId="0" applyFill="1" applyBorder="1" applyAlignment="1">
      <alignment horizontal="left" wrapText="1"/>
    </xf>
    <xf numFmtId="0" fontId="0" fillId="17" borderId="4" xfId="0" applyFill="1" applyBorder="1" applyAlignment="1">
      <alignment horizontal="left" wrapText="1"/>
    </xf>
    <xf numFmtId="0" fontId="8" fillId="16" borderId="1" xfId="0" applyFont="1" applyFill="1" applyBorder="1" applyAlignment="1">
      <alignment horizontal="center" vertical="center"/>
    </xf>
    <xf numFmtId="0" fontId="0" fillId="19" borderId="1" xfId="0" applyFill="1" applyBorder="1" applyAlignment="1">
      <alignment horizontal="center"/>
    </xf>
    <xf numFmtId="0" fontId="1" fillId="0" borderId="2" xfId="0" applyFont="1" applyBorder="1" applyAlignment="1">
      <alignment horizontal="left" vertical="top"/>
    </xf>
    <xf numFmtId="0" fontId="1" fillId="0" borderId="4" xfId="0" applyFont="1" applyBorder="1" applyAlignment="1">
      <alignment horizontal="left" vertical="top"/>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Fill="1" applyBorder="1" applyAlignment="1">
      <alignment horizontal="left" vertical="center"/>
    </xf>
    <xf numFmtId="0" fontId="14" fillId="0" borderId="1" xfId="0" applyFont="1" applyFill="1" applyBorder="1" applyAlignment="1">
      <alignment horizontal="left" vertical="top" wrapText="1"/>
    </xf>
    <xf numFmtId="0" fontId="14" fillId="27" borderId="1" xfId="0" applyFont="1" applyFill="1" applyBorder="1" applyAlignment="1">
      <alignment horizontal="left" vertical="center" wrapText="1"/>
    </xf>
    <xf numFmtId="0" fontId="9" fillId="20" borderId="2" xfId="0" applyFont="1" applyFill="1" applyBorder="1" applyAlignment="1">
      <alignment horizontal="center"/>
    </xf>
    <xf numFmtId="0" fontId="9" fillId="20" borderId="4" xfId="0" applyFont="1" applyFill="1" applyBorder="1" applyAlignment="1">
      <alignment horizontal="center"/>
    </xf>
    <xf numFmtId="0" fontId="14" fillId="0" borderId="1" xfId="0" applyFont="1" applyFill="1" applyBorder="1" applyAlignment="1">
      <alignment horizontal="left" vertical="center"/>
    </xf>
    <xf numFmtId="0" fontId="14" fillId="0" borderId="1" xfId="0" applyFont="1" applyFill="1" applyBorder="1" applyAlignment="1">
      <alignment vertical="top" wrapText="1"/>
    </xf>
    <xf numFmtId="0" fontId="26" fillId="0" borderId="1" xfId="0" applyFont="1" applyBorder="1" applyAlignment="1">
      <alignment horizontal="left" vertical="center"/>
    </xf>
    <xf numFmtId="0" fontId="26" fillId="0" borderId="1" xfId="0" applyFont="1" applyBorder="1" applyAlignment="1">
      <alignment horizontal="left" wrapText="1"/>
    </xf>
    <xf numFmtId="0" fontId="26" fillId="0" borderId="1" xfId="0" applyFont="1" applyBorder="1" applyAlignment="1">
      <alignment horizontal="left" vertical="center" wrapText="1"/>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horizontal="center" vertical="top" wrapText="1"/>
    </xf>
    <xf numFmtId="0" fontId="1" fillId="0" borderId="1" xfId="0" applyFont="1" applyFill="1" applyBorder="1" applyAlignment="1">
      <alignment horizontal="center" vertical="center"/>
    </xf>
    <xf numFmtId="0" fontId="9" fillId="20" borderId="1" xfId="0" applyFont="1" applyFill="1" applyBorder="1" applyAlignment="1">
      <alignment horizontal="center"/>
    </xf>
    <xf numFmtId="0" fontId="1" fillId="0" borderId="7" xfId="0" applyFont="1" applyFill="1" applyBorder="1" applyAlignment="1">
      <alignment horizontal="left" vertical="top" wrapText="1"/>
    </xf>
    <xf numFmtId="0" fontId="1" fillId="0" borderId="5" xfId="0" applyFont="1" applyFill="1" applyBorder="1" applyAlignment="1">
      <alignment horizontal="left" vertical="top" wrapText="1"/>
    </xf>
    <xf numFmtId="0" fontId="11"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4" xfId="0" applyFont="1" applyFill="1" applyBorder="1" applyAlignment="1">
      <alignment horizontal="center" vertical="center" wrapText="1"/>
    </xf>
  </cellXfs>
  <cellStyles count="6">
    <cellStyle name="Normal" xfId="0" builtinId="0"/>
    <cellStyle name="Normal 2" xfId="1"/>
    <cellStyle name="Normal 21" xfId="5"/>
    <cellStyle name="Normal 3 2" xfId="2"/>
    <cellStyle name="Normal 3 2 3" xfId="4"/>
    <cellStyle name="Normal 3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3</xdr:col>
      <xdr:colOff>18185</xdr:colOff>
      <xdr:row>84</xdr:row>
      <xdr:rowOff>268433</xdr:rowOff>
    </xdr:from>
    <xdr:ext cx="1036550" cy="593306"/>
    <xdr:sp macro="" textlink="">
      <xdr:nvSpPr>
        <xdr:cNvPr id="2" name="AutoShape 1" descr="http://myacademy/eltcms/pix/i/course.gif"/>
        <xdr:cNvSpPr>
          <a:spLocks noChangeAspect="1" noChangeArrowheads="1"/>
        </xdr:cNvSpPr>
      </xdr:nvSpPr>
      <xdr:spPr bwMode="auto">
        <a:xfrm flipH="1">
          <a:off x="3190010" y="5907233"/>
          <a:ext cx="1036550" cy="593306"/>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3"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4"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304800" cy="162358"/>
    <xdr:sp macro="" textlink="">
      <xdr:nvSpPr>
        <xdr:cNvPr id="10"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2</xdr:col>
      <xdr:colOff>0</xdr:colOff>
      <xdr:row>91</xdr:row>
      <xdr:rowOff>0</xdr:rowOff>
    </xdr:from>
    <xdr:ext cx="304800" cy="162358"/>
    <xdr:sp macro="" textlink="">
      <xdr:nvSpPr>
        <xdr:cNvPr id="11"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2</xdr:col>
      <xdr:colOff>3086100</xdr:colOff>
      <xdr:row>91</xdr:row>
      <xdr:rowOff>0</xdr:rowOff>
    </xdr:from>
    <xdr:ext cx="295275" cy="28575"/>
    <xdr:sp macro="" textlink="">
      <xdr:nvSpPr>
        <xdr:cNvPr id="12"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0"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1"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2"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3"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4"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6"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7"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8"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9"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0"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1"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5"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6"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7"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8"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9"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3"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0"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1"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2"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4"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8"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6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6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6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6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6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65"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66"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67"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68"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69"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7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71"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72"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73"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74"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75"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76"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7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7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7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80"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81"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82"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83"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84"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8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8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8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8"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9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9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9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9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9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95"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96"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97"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98"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99"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0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0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0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03"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0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0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0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0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0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0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10"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11"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12"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13"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14"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1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16"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17"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18"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19"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20"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21"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2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2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2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25"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26"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27"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28"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29"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3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3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3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33"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3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3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3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3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3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3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40"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41"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42"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4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44"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4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4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4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48"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4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5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5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5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5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5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55"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56"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57"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58"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59"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6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161"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62"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63"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64"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65"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66"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6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6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16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70"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71"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72"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73"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74"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7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7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17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178" name="AutoShape 114"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179" name="AutoShape 40"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180" name="AutoShape 9"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181"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182" name="AutoShape 4"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183"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184"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90"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91"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92"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9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94"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9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9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9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98"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9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0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0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0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0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0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05"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06"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07"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08"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09"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1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11"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12"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13"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1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15"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16"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1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1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19"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20"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21"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2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23"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24"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2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2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27"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2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2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3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3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3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3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34"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35"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36"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3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38"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3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4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4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42"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4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4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4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4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4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4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49"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50"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51"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52"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53"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54"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5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56"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57"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58"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5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60"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61"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6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26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64"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65"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66"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6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68"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69"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7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27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72"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7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7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7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7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7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7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79"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80"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81"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8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83"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8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8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28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87"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8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8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9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9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9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29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94"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95"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96"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97"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98"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299"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30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01"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02"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03"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0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05"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06"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0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0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09"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10"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11"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1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13"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14"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1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1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17"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1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1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2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2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2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2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24"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25"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26"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2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28"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2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3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3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32"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3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3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3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3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3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3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339"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340"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341"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342"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343"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344"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34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46"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47"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48"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4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50"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51"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5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35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54"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55"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56"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5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58"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59"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6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36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362"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363"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364"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36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366"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36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368"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36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370" name="AutoShape 114"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371" name="AutoShape 40"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372" name="AutoShape 9"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373"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374" name="AutoShape 4"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375"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295275" cy="219508"/>
    <xdr:sp macro="" textlink="">
      <xdr:nvSpPr>
        <xdr:cNvPr id="376"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2</xdr:col>
      <xdr:colOff>0</xdr:colOff>
      <xdr:row>91</xdr:row>
      <xdr:rowOff>0</xdr:rowOff>
    </xdr:from>
    <xdr:ext cx="304800" cy="162358"/>
    <xdr:sp macro="" textlink="">
      <xdr:nvSpPr>
        <xdr:cNvPr id="377"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2</xdr:col>
      <xdr:colOff>0</xdr:colOff>
      <xdr:row>91</xdr:row>
      <xdr:rowOff>0</xdr:rowOff>
    </xdr:from>
    <xdr:ext cx="304800" cy="162358"/>
    <xdr:sp macro="" textlink="">
      <xdr:nvSpPr>
        <xdr:cNvPr id="378"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2</xdr:col>
      <xdr:colOff>0</xdr:colOff>
      <xdr:row>91</xdr:row>
      <xdr:rowOff>0</xdr:rowOff>
    </xdr:from>
    <xdr:ext cx="304800" cy="162358"/>
    <xdr:sp macro="" textlink="">
      <xdr:nvSpPr>
        <xdr:cNvPr id="379"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2</xdr:col>
      <xdr:colOff>0</xdr:colOff>
      <xdr:row>91</xdr:row>
      <xdr:rowOff>0</xdr:rowOff>
    </xdr:from>
    <xdr:ext cx="304800" cy="162358"/>
    <xdr:sp macro="" textlink="">
      <xdr:nvSpPr>
        <xdr:cNvPr id="380"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2</xdr:col>
      <xdr:colOff>0</xdr:colOff>
      <xdr:row>91</xdr:row>
      <xdr:rowOff>0</xdr:rowOff>
    </xdr:from>
    <xdr:ext cx="304800" cy="162358"/>
    <xdr:sp macro="" textlink="">
      <xdr:nvSpPr>
        <xdr:cNvPr id="381"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2</xdr:col>
      <xdr:colOff>0</xdr:colOff>
      <xdr:row>91</xdr:row>
      <xdr:rowOff>0</xdr:rowOff>
    </xdr:from>
    <xdr:ext cx="304800" cy="162358"/>
    <xdr:sp macro="" textlink="">
      <xdr:nvSpPr>
        <xdr:cNvPr id="382"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83"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8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8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8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8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8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8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90"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91"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92"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9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94"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9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9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39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98"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39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0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0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0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0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0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05"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06"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07"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08"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09"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1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11"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12"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13"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14"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15"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16"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1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1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1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20"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21"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22"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23"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24"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2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2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2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28"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2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3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3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3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3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3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35"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36"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37"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38"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39"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4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4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4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43"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4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4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4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4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4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4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50"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51"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52"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53"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54"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5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56"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57"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58"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59"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60"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61"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6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6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46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65"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66"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67"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68"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69"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7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7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47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73"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7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7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7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7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7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7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80"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81"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82"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8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84"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8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8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48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88"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8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9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9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9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9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49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95"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96"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97"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98"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499"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50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501"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02"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03"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04"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05"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06"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0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0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0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10"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11"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12"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13"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14"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1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1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1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18"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1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2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2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2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2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2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25"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26"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27"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28"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29"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3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3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53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33"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3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3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3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3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3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53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540"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541"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542"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543"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544"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54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159486"/>
    <xdr:sp macro="" textlink="">
      <xdr:nvSpPr>
        <xdr:cNvPr id="546"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47"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48"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49"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50"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51"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5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5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4673"/>
    <xdr:sp macro="" textlink="">
      <xdr:nvSpPr>
        <xdr:cNvPr id="55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55"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56"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57"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58"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59"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6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6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4</xdr:col>
      <xdr:colOff>0</xdr:colOff>
      <xdr:row>91</xdr:row>
      <xdr:rowOff>0</xdr:rowOff>
    </xdr:from>
    <xdr:ext cx="295275" cy="318401"/>
    <xdr:sp macro="" textlink="">
      <xdr:nvSpPr>
        <xdr:cNvPr id="56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63"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64"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6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66"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6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68"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6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70"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71"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72"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73"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74"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75"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76"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77"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78"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79"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80"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81"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82"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83"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84"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85"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86"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87"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88"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89"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90"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591"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304800" cy="161925"/>
    <xdr:sp macro="" textlink="">
      <xdr:nvSpPr>
        <xdr:cNvPr id="592" name="AutoShape 1" descr="http://myacademy/eltcms/pix/i/course.gif"/>
        <xdr:cNvSpPr>
          <a:spLocks noChangeAspect="1" noChangeArrowheads="1"/>
        </xdr:cNvSpPr>
      </xdr:nvSpPr>
      <xdr:spPr bwMode="auto">
        <a:xfrm>
          <a:off x="2114550" y="8572500"/>
          <a:ext cx="304800" cy="161925"/>
        </a:xfrm>
        <a:prstGeom prst="rect">
          <a:avLst/>
        </a:prstGeom>
        <a:noFill/>
        <a:ln w="9525">
          <a:noFill/>
          <a:miter lim="800000"/>
          <a:headEnd/>
          <a:tailEnd/>
        </a:ln>
      </xdr:spPr>
    </xdr:sp>
    <xdr:clientData/>
  </xdr:oneCellAnchor>
  <xdr:oneCellAnchor>
    <xdr:from>
      <xdr:col>2</xdr:col>
      <xdr:colOff>0</xdr:colOff>
      <xdr:row>91</xdr:row>
      <xdr:rowOff>0</xdr:rowOff>
    </xdr:from>
    <xdr:ext cx="304800" cy="161925"/>
    <xdr:sp macro="" textlink="">
      <xdr:nvSpPr>
        <xdr:cNvPr id="593" name="AutoShape 1" descr="http://myacademy/eltcms/pix/i/course.gif"/>
        <xdr:cNvSpPr>
          <a:spLocks noChangeAspect="1" noChangeArrowheads="1"/>
        </xdr:cNvSpPr>
      </xdr:nvSpPr>
      <xdr:spPr bwMode="auto">
        <a:xfrm>
          <a:off x="2114550" y="8572500"/>
          <a:ext cx="304800" cy="16192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94"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95"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96"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9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98"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59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00"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01"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02" name="AutoShape 114"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03" name="AutoShape 40"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04" name="AutoShape 9"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05"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06" name="AutoShape 4"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07"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08"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09"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10"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11"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12"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13"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14"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1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16"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17" name="AutoShape 114"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18" name="AutoShape 40"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19" name="AutoShape 9"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20"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21" name="AutoShape 4"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22"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23235"/>
    <xdr:sp macro="" textlink="">
      <xdr:nvSpPr>
        <xdr:cNvPr id="623"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24"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25"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26"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27"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28"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29"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30"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31"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32"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33"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34"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35"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36"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37"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38"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39"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40"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41"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42"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43"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44"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45"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46"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47"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48"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49"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50"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51"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57150</xdr:colOff>
      <xdr:row>91</xdr:row>
      <xdr:rowOff>0</xdr:rowOff>
    </xdr:from>
    <xdr:ext cx="295275" cy="28575"/>
    <xdr:sp macro="" textlink="">
      <xdr:nvSpPr>
        <xdr:cNvPr id="652" name="AutoShape 109" descr="http://myacademy/eltcms/pix/i/course.gif"/>
        <xdr:cNvSpPr>
          <a:spLocks noChangeAspect="1" noChangeArrowheads="1"/>
        </xdr:cNvSpPr>
      </xdr:nvSpPr>
      <xdr:spPr bwMode="auto">
        <a:xfrm>
          <a:off x="217170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53"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54"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5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56"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5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58"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5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60" name="AutoShape 114"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61" name="AutoShape 40"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62" name="AutoShape 9"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63"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64" name="AutoShape 4"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65"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66"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67"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68"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69"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70"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71"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72"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73"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674"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75" name="AutoShape 114"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76" name="AutoShape 40"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77" name="AutoShape 9"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78"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79" name="AutoShape 4"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80"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22802"/>
    <xdr:sp macro="" textlink="">
      <xdr:nvSpPr>
        <xdr:cNvPr id="681"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82"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83"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84"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85"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86"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87"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88"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89"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90"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91"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92"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93"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94"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2</xdr:col>
      <xdr:colOff>0</xdr:colOff>
      <xdr:row>91</xdr:row>
      <xdr:rowOff>0</xdr:rowOff>
    </xdr:from>
    <xdr:ext cx="295275" cy="219075"/>
    <xdr:sp macro="" textlink="">
      <xdr:nvSpPr>
        <xdr:cNvPr id="695"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696"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697"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69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699"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0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0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02"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03"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04"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0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06"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0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08"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0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10"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11"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12"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1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14"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1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1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17"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18"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19"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20"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21"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22"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23"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24"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25"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26"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27"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28"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29"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30"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31"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32"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33"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34"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35"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36"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37"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38"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39"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40"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41"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42"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4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44"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4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4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47"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48"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49"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5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51"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5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5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5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55"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56"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57"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5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59"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6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6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62"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63"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64"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65"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66"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67"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768"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69"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70"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71"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72"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73"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74"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75"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776"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77"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78"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79"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80"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81"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82"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83"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784"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85"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86"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87"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8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89"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9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79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92"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93"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94"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9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96"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9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98"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79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00"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01"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02"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0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04"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0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0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07"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08"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09"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10"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11"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12"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13"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14"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15"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16"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17"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18"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19"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20"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21"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822"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823"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824"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825"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826"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827"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828"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829"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30"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31"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32"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3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34"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3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3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837"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838"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839"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84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841"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84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84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84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45"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46"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47"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4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49"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5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85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52"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53"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54"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55"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56"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857"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58"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59"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60"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61"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62"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63"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64"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865"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866"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867"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868"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2</xdr:col>
      <xdr:colOff>3610841</xdr:colOff>
      <xdr:row>91</xdr:row>
      <xdr:rowOff>0</xdr:rowOff>
    </xdr:from>
    <xdr:ext cx="295275" cy="331303"/>
    <xdr:sp macro="" textlink="">
      <xdr:nvSpPr>
        <xdr:cNvPr id="869" name="AutoShape 1" descr="http://myacademy/eltcms/pix/i/course.gif"/>
        <xdr:cNvSpPr>
          <a:spLocks noChangeAspect="1" noChangeArrowheads="1"/>
        </xdr:cNvSpPr>
      </xdr:nvSpPr>
      <xdr:spPr bwMode="auto">
        <a:xfrm>
          <a:off x="3172691" y="8572500"/>
          <a:ext cx="295275" cy="331303"/>
        </a:xfrm>
        <a:prstGeom prst="rect">
          <a:avLst/>
        </a:prstGeom>
        <a:noFill/>
        <a:ln w="9525">
          <a:noFill/>
          <a:miter lim="800000"/>
          <a:headEnd/>
          <a:tailEnd/>
        </a:ln>
      </xdr:spPr>
    </xdr:sp>
    <xdr:clientData/>
  </xdr:oneCellAnchor>
  <xdr:oneCellAnchor>
    <xdr:from>
      <xdr:col>2</xdr:col>
      <xdr:colOff>2840181</xdr:colOff>
      <xdr:row>85</xdr:row>
      <xdr:rowOff>0</xdr:rowOff>
    </xdr:from>
    <xdr:ext cx="295275" cy="331303"/>
    <xdr:sp macro="" textlink="">
      <xdr:nvSpPr>
        <xdr:cNvPr id="870" name="AutoShape 4" descr="http://myacademy/eltcms/pix/i/course.gif"/>
        <xdr:cNvSpPr>
          <a:spLocks noChangeAspect="1" noChangeArrowheads="1"/>
        </xdr:cNvSpPr>
      </xdr:nvSpPr>
      <xdr:spPr bwMode="auto">
        <a:xfrm>
          <a:off x="3173556" y="5905500"/>
          <a:ext cx="295275" cy="331303"/>
        </a:xfrm>
        <a:prstGeom prst="rect">
          <a:avLst/>
        </a:prstGeom>
        <a:noFill/>
        <a:ln w="9525">
          <a:noFill/>
          <a:miter lim="800000"/>
          <a:headEnd/>
          <a:tailEnd/>
        </a:ln>
      </xdr:spPr>
    </xdr:sp>
    <xdr:clientData/>
  </xdr:oneCellAnchor>
  <xdr:oneCellAnchor>
    <xdr:from>
      <xdr:col>4</xdr:col>
      <xdr:colOff>684068</xdr:colOff>
      <xdr:row>93</xdr:row>
      <xdr:rowOff>51954</xdr:rowOff>
    </xdr:from>
    <xdr:ext cx="295275" cy="331303"/>
    <xdr:sp macro="" textlink="">
      <xdr:nvSpPr>
        <xdr:cNvPr id="871" name="AutoShape 1" descr="http://myacademy/eltcms/pix/i/course.gif"/>
        <xdr:cNvSpPr>
          <a:spLocks noChangeAspect="1" noChangeArrowheads="1"/>
        </xdr:cNvSpPr>
      </xdr:nvSpPr>
      <xdr:spPr bwMode="auto">
        <a:xfrm>
          <a:off x="4913168" y="9195954"/>
          <a:ext cx="295275" cy="331303"/>
        </a:xfrm>
        <a:prstGeom prst="rect">
          <a:avLst/>
        </a:prstGeom>
        <a:noFill/>
        <a:ln w="9525">
          <a:noFill/>
          <a:miter lim="800000"/>
          <a:headEnd/>
          <a:tailEnd/>
        </a:ln>
      </xdr:spPr>
    </xdr:sp>
    <xdr:clientData/>
  </xdr:oneCellAnchor>
  <xdr:oneCellAnchor>
    <xdr:from>
      <xdr:col>4</xdr:col>
      <xdr:colOff>0</xdr:colOff>
      <xdr:row>91</xdr:row>
      <xdr:rowOff>158121</xdr:rowOff>
    </xdr:from>
    <xdr:ext cx="295275" cy="326788"/>
    <xdr:sp macro="" textlink="">
      <xdr:nvSpPr>
        <xdr:cNvPr id="872" name="AutoShape 1" descr="http://myacademy/eltcms/pix/i/course.gif"/>
        <xdr:cNvSpPr>
          <a:spLocks noChangeAspect="1" noChangeArrowheads="1"/>
        </xdr:cNvSpPr>
      </xdr:nvSpPr>
      <xdr:spPr bwMode="auto">
        <a:xfrm flipV="1">
          <a:off x="4229100" y="8921121"/>
          <a:ext cx="295275" cy="326788"/>
        </a:xfrm>
        <a:prstGeom prst="rect">
          <a:avLst/>
        </a:prstGeom>
        <a:noFill/>
        <a:ln w="9525">
          <a:noFill/>
          <a:miter lim="800000"/>
          <a:headEnd/>
          <a:tailEnd/>
        </a:ln>
      </xdr:spPr>
    </xdr:sp>
    <xdr:clientData/>
  </xdr:oneCellAnchor>
  <xdr:oneCellAnchor>
    <xdr:from>
      <xdr:col>4</xdr:col>
      <xdr:colOff>0</xdr:colOff>
      <xdr:row>91</xdr:row>
      <xdr:rowOff>25977</xdr:rowOff>
    </xdr:from>
    <xdr:ext cx="117774" cy="132144"/>
    <xdr:sp macro="" textlink="">
      <xdr:nvSpPr>
        <xdr:cNvPr id="873" name="AutoShape 1" descr="http://myacademy/eltcms/pix/i/course.gif"/>
        <xdr:cNvSpPr>
          <a:spLocks noChangeAspect="1" noChangeArrowheads="1"/>
        </xdr:cNvSpPr>
      </xdr:nvSpPr>
      <xdr:spPr bwMode="auto">
        <a:xfrm>
          <a:off x="4229100" y="8788977"/>
          <a:ext cx="117774" cy="132144"/>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74"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75"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76"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7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78"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7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80"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81"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82"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83"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84"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8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86"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8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88"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8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90"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91"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92"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93"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94"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9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96"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9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98"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899"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900"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901"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902"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903"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904"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2</xdr:col>
      <xdr:colOff>0</xdr:colOff>
      <xdr:row>91</xdr:row>
      <xdr:rowOff>0</xdr:rowOff>
    </xdr:from>
    <xdr:ext cx="295275" cy="28575"/>
    <xdr:sp macro="" textlink="">
      <xdr:nvSpPr>
        <xdr:cNvPr id="90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06"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07"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08"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0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10"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1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1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13"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14"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15"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1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17"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1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1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20"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21"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22"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23"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24"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25"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26"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27"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28"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29"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30"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31"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32"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3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34"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35"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36"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37"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38"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39"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40"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41"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42"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43"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44"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45"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46"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47"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48"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49"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50"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51"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52"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5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54"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5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5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57"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58"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59"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6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61"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6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6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64"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65"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6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67"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6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6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70"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71"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72"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7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74"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7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97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77"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78"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79"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80"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81"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82"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83"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84"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85"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86"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87"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88"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89"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90"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991"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92"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93"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94"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95"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96"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97"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98"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999"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00"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01"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02"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0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04"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05"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06"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07"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08"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09"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1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11"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1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1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14"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15"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16"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1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18"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1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20"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21"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22"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2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24"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2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2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27"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28"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29"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3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31"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3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3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34"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35"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36"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37"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38"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39"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40"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41"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42"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43"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44"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45"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46"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47"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48"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49"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50"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51"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52"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53"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54"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55"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56"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57"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58"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59"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60"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61"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62"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06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64"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65"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66"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6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68"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6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7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71"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72"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73"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7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75"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7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7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78"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79"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80"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8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82"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8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8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85"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86"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87"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8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89"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9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09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92"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93"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94"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95"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96"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97"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98"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099"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00"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01"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02"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0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04"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05"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06"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07"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08"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09"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10"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11"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12"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13"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14"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15"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16"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17"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18"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19"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20"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21"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22"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23"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24"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2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26"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2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2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29"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30"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31"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3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33"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3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3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36"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37"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38"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3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40"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4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4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43"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44"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45"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4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47"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4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4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50"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51"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52"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5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54"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55"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56"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57"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58"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59"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60"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61"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62"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16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64"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65"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66"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6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68"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6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7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71"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72"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73"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7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75"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7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7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78"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79"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80"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8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82"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8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8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85"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86"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87"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8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89"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9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19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92"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93"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94"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95"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96"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97"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98"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199"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00"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01"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02"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0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04"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05"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06"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207"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208"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209"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210"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211"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212"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213"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8575"/>
    <xdr:sp macro="" textlink="">
      <xdr:nvSpPr>
        <xdr:cNvPr id="1214"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15"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16"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17"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18"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19"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20"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22802"/>
    <xdr:sp macro="" textlink="">
      <xdr:nvSpPr>
        <xdr:cNvPr id="1221"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22"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23"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24"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2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26"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2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2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29"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30"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31"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3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33"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3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91</xdr:row>
      <xdr:rowOff>0</xdr:rowOff>
    </xdr:from>
    <xdr:ext cx="295275" cy="219075"/>
    <xdr:sp macro="" textlink="">
      <xdr:nvSpPr>
        <xdr:cNvPr id="123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36"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3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38"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3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4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41"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42"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43"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44"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45"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46"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47"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48"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49"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50"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51"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52"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53"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5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55"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56"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57"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58"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59"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60"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61"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62"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63"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64"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65"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66"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6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68"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6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70"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71"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72"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73"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7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75"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7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7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7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7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8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8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8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8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84"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85"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86"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8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88"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8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9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91"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92"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93"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9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95"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9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9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98"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99"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00"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01"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02"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03"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04"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05"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06"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07"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08"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0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10"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1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12"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13"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14"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15"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16"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17"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18"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19"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20"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21"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22"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23"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2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25"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26"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2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2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2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3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3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3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3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3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35"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36"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37"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3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39"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4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41"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42"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43"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4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45"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4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4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4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4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5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5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5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5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5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55"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56"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57"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5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59"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60"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6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62"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63"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64"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65"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66"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6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6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69"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70"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71"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7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73"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7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7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76"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77"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78"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7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80"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8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82"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83"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84"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8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86"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8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8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89"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90"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91"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9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93"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9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9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96"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97"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98"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9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00"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0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02"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03"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04"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05"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06"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07"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0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0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10"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11"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12"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1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14"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1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1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17"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18"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19"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2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21"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2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23"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2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25"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2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2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2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2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3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3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3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3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3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35"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36"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37"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3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39"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40"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4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42"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43"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44"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45"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46"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4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4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49"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50"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51"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5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53"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5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5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56"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57"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58"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5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60"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6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62"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63"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64"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6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66"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6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6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69"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70"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71"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7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73"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7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7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76"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77"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78"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7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80"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8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82"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83"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84"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85"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86"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87"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8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48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90"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91"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92"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9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94"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9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9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97"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98"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99"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00"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01"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02"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0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04"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0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0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07"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08"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09"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1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11"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1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1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14"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15"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16"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1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18"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1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20"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21"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22"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23"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2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25"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26"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2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2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2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3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3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3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3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3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35"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36"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37"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3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39"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40"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41"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42"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43"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44"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45"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46"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47"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48"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49"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50"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51"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52"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53"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54"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55"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56"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57"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58"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59"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60"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61"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62"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63"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64"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65"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66"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67"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68"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69"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70"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71"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72"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73"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74"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75"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76"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77"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78"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79"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80"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81"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82"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83"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84"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85"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86"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87"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88"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89"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90"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91"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592"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93"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94"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95"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96"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97"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98"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599"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600"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601"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602"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603"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604"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605"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1606"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07"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08"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09"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10"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11"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12"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13"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14"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15"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16"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17"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1618"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19"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2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21"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2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2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24"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25"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26"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2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28"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2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3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31"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32"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33"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3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35"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36"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3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38"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39"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40"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4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42"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43"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4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45"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46"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47"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4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49"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5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5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52"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53"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54"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5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56"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5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5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5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6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6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6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6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6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65"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66"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67"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6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69"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7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7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72"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73"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74"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75"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76"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7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7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79"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80"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81"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82"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83"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8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85"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86"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87"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88"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8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90"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9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9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93"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94"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95"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9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97"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69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69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0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0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0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0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04"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05"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06"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0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08"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0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1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1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12"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1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1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1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1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1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1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19"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20"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21"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22"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23"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24"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25"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24848</xdr:colOff>
      <xdr:row>91</xdr:row>
      <xdr:rowOff>0</xdr:rowOff>
    </xdr:from>
    <xdr:ext cx="295275" cy="327575"/>
    <xdr:sp macro="" textlink="">
      <xdr:nvSpPr>
        <xdr:cNvPr id="1726" name="AutoShape 63" descr="http://myacademy/eltcms/pix/i/course.gif"/>
        <xdr:cNvSpPr>
          <a:spLocks noChangeAspect="1" noChangeArrowheads="1"/>
        </xdr:cNvSpPr>
      </xdr:nvSpPr>
      <xdr:spPr bwMode="auto">
        <a:xfrm>
          <a:off x="4253948"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27"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28"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29"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30"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31"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32"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33"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34"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35"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36"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37"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38"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39"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40"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41"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42"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4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4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4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4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4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4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49"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50"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51"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5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53"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5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5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5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57"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5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5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6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6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6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6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64"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65"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66"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67"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68"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69"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770"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71"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72"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73"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74"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75"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76"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77"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778"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79"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80"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81"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82"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83"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84"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85"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786"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87"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8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8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9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9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9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79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94"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95"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96"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9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98"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79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80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80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02"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0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0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0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0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0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0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09"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10"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11"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12"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13"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14"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15"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16"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17"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18"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19"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20"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21"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22"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23"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24"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25"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26"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27"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28"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29"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30"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31"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32"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3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3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3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3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3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3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839"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840"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841"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84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843"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84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84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28575"/>
    <xdr:sp macro="" textlink="">
      <xdr:nvSpPr>
        <xdr:cNvPr id="184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47"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4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4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5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5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5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5652"/>
    <xdr:sp macro="" textlink="">
      <xdr:nvSpPr>
        <xdr:cNvPr id="185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54"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55"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56"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57"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58"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59"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169011"/>
    <xdr:sp macro="" textlink="">
      <xdr:nvSpPr>
        <xdr:cNvPr id="1860"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61"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62"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63"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64"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65"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66"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67"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27575"/>
    <xdr:sp macro="" textlink="">
      <xdr:nvSpPr>
        <xdr:cNvPr id="1868"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69"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70"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71"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72"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73"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74"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75"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91</xdr:row>
      <xdr:rowOff>0</xdr:rowOff>
    </xdr:from>
    <xdr:ext cx="295275" cy="331303"/>
    <xdr:sp macro="" textlink="">
      <xdr:nvSpPr>
        <xdr:cNvPr id="1876"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77"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7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79"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8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8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2</xdr:col>
      <xdr:colOff>3086100</xdr:colOff>
      <xdr:row>9</xdr:row>
      <xdr:rowOff>0</xdr:rowOff>
    </xdr:from>
    <xdr:ext cx="295275" cy="28575"/>
    <xdr:sp macro="" textlink="">
      <xdr:nvSpPr>
        <xdr:cNvPr id="1882" name="AutoShape 109" descr="http://myacademy/eltcms/pix/i/course.gif"/>
        <xdr:cNvSpPr>
          <a:spLocks noChangeAspect="1" noChangeArrowheads="1"/>
        </xdr:cNvSpPr>
      </xdr:nvSpPr>
      <xdr:spPr bwMode="auto">
        <a:xfrm>
          <a:off x="3171825" y="952500"/>
          <a:ext cx="295275" cy="28575"/>
        </a:xfrm>
        <a:prstGeom prst="rect">
          <a:avLst/>
        </a:prstGeom>
        <a:noFill/>
        <a:ln w="9525">
          <a:noFill/>
          <a:miter lim="800000"/>
          <a:headEnd/>
          <a:tailEnd/>
        </a:ln>
      </xdr:spPr>
    </xdr:sp>
    <xdr:clientData/>
  </xdr:oneCellAnchor>
  <xdr:oneCellAnchor>
    <xdr:from>
      <xdr:col>2</xdr:col>
      <xdr:colOff>2922010</xdr:colOff>
      <xdr:row>12</xdr:row>
      <xdr:rowOff>184005</xdr:rowOff>
    </xdr:from>
    <xdr:ext cx="295275" cy="28575"/>
    <xdr:sp macro="" textlink="">
      <xdr:nvSpPr>
        <xdr:cNvPr id="1883" name="AutoShape 40" descr="http://myacademy/eltcms/pix/i/course.gif"/>
        <xdr:cNvSpPr>
          <a:spLocks noChangeAspect="1" noChangeArrowheads="1"/>
        </xdr:cNvSpPr>
      </xdr:nvSpPr>
      <xdr:spPr bwMode="auto">
        <a:xfrm>
          <a:off x="7219084" y="1472045"/>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88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885"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88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88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88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89"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90"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91"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9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93"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9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89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896"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897"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898"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899"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00"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01"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02"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03"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04"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05"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0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07"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0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0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10"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11"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12"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13"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14"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1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1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1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18"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19"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20"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2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22"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2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2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25"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26"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27"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28"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29"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30"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31"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32"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33"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34"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3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36"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3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3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39"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40"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41"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42"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43"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4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4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4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47"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48"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49"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5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51"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5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5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54"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55"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56"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57"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58"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59"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60"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61"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62"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63"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6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65"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6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6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68"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69"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70"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71"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72"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73"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7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7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76"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77"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78"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7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80"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8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8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83"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84"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85"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86"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87"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88"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1989"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90"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91"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9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93"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9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199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96"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97"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98"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199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00"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01"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02"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03"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04"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05"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06"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0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08"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0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1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11"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12"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13"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14"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15"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16"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17"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18"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19"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20"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2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22"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2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2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25"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26"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27"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2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29"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30"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31"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32"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33"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34"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35"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3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37"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3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3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40"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41"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42"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43"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44"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45"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46"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47"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48"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49"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5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51"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5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5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54"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55"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56"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5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58"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5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60"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61"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62"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63"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64"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6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66"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6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6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69"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70"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71"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72"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73"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74"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75"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76"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77"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78"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7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80"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8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8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83"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84"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85"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8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87"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8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8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090"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91"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92"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93"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9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95"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9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09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98"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099"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00"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01"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02"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03"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04"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05"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06"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07"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0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09"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1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1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12"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13"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14"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1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16"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1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1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1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20"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21"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22"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2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24"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2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2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27"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28"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29"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30"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31"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32"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33"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34"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35"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36"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3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38"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3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4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41"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42"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43"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4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45"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4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4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4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49"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50"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51"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5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53"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5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5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56"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57"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58"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59"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60"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61"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62"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63"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64"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65"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6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67"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6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6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70"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71"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72"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73"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74"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7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7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7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78"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79"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80"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8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82"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8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8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85"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86"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87"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88"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89"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90"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191"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92"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93"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94"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9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96"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9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19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199"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200"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201"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202"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203"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20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20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20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207"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208"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209"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21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211"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21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221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214"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215"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216"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217"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218"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219"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2220"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21"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22"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23"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24"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25"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26"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27"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28"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29"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30"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31"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32"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33"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34" name="AutoShape 109"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35" name="AutoShape 40"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36" name="AutoShape 9"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37"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38" name="AutoShape 4"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39"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40"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41"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42"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43"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44"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45"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46"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47"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48"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49" name="AutoShape 109"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50" name="AutoShape 40"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51" name="AutoShape 9"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52"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53" name="AutoShape 4"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54"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55"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2256"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57"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58"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59"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60"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61"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62"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2263"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64"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65"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66"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67"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68"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69"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70"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71"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72"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73"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74"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75"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76"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2277"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27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27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280"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281"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282"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283"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284"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285"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286" name="AutoShape 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287"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288"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289"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290" name="AutoShape 4"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291"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292"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293"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294" name="AutoShape 63"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295"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296"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297"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298"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299"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00"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01"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02"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03"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0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05"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0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0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0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09" name="AutoShape 11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10"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11"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12"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13"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14"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15"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16" name="AutoShape 11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17" name="AutoShape 40"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18" name="AutoShape 9"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19"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20" name="AutoShape 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21"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22"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23" name="AutoShape 63"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24" name="AutoShape 40"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25" name="AutoShape 9"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26"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27" name="AutoShape 4"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28"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29"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30"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31" name="AutoShape 63"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32" name="AutoShape 40"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33" name="AutoShape 9"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34"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35" name="AutoShape 4"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36"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37"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38"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39" name="AutoShape 63"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40"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41"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42"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43"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44"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45"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46"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47"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48"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4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50"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51"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52"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53"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54" name="AutoShape 11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55"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56"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57"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58"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59"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60"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61" name="AutoShape 11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62" name="AutoShape 40"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63" name="AutoShape 9"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64"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65" name="AutoShape 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66"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367"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68" name="AutoShape 63"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69" name="AutoShape 40"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70" name="AutoShape 9"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71"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72" name="AutoShape 4"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73"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74"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375"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76" name="AutoShape 63"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77" name="AutoShape 40"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78" name="AutoShape 9"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79"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80" name="AutoShape 4"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81"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82"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383"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84" name="AutoShape 63"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85"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86"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87"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88"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89"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90"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91"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92"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93"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9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95"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9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9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239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399" name="AutoShape 11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400"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401"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402"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403"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404"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2405"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406" name="AutoShape 11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407" name="AutoShape 40"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408" name="AutoShape 9"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409"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2410" name="AutoShape 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3</xdr:col>
      <xdr:colOff>1125682</xdr:colOff>
      <xdr:row>12</xdr:row>
      <xdr:rowOff>108238</xdr:rowOff>
    </xdr:from>
    <xdr:ext cx="295275" cy="169011"/>
    <xdr:sp macro="" textlink="">
      <xdr:nvSpPr>
        <xdr:cNvPr id="2411" name="AutoShape 1" descr="http://myacademy/eltcms/pix/i/course.gif"/>
        <xdr:cNvSpPr>
          <a:spLocks noChangeAspect="1" noChangeArrowheads="1"/>
        </xdr:cNvSpPr>
      </xdr:nvSpPr>
      <xdr:spPr bwMode="auto">
        <a:xfrm>
          <a:off x="8669915" y="2565255"/>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2412" name="AutoShape 1" descr="http://myacademy/eltcms/pix/i/course.gif"/>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413" name="AutoShape 63"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414" name="AutoShape 40"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415" name="AutoShape 9"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416"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417" name="AutoShape 4"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418"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419"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2420"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421" name="AutoShape 63"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422" name="AutoShape 40"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423" name="AutoShape 9"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424"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425" name="AutoShape 4"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426"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427"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2428"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29"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30"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31"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32"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33"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34"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35"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36"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37"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38"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39"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40"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41"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42"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43"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44"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45"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46"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47"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48"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49"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50"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51"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52"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53"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54"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55"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56"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57"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58"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59"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60"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1"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3"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2</xdr:col>
      <xdr:colOff>3086100</xdr:colOff>
      <xdr:row>62</xdr:row>
      <xdr:rowOff>0</xdr:rowOff>
    </xdr:from>
    <xdr:ext cx="295275" cy="28575"/>
    <xdr:sp macro="" textlink="">
      <xdr:nvSpPr>
        <xdr:cNvPr id="2466" name="AutoShape 109" descr="http://myacademy/eltcms/pix/i/course.gif"/>
        <xdr:cNvSpPr>
          <a:spLocks noChangeAspect="1" noChangeArrowheads="1"/>
        </xdr:cNvSpPr>
      </xdr:nvSpPr>
      <xdr:spPr bwMode="auto">
        <a:xfrm>
          <a:off x="3171825" y="3114675"/>
          <a:ext cx="295275" cy="28575"/>
        </a:xfrm>
        <a:prstGeom prst="rect">
          <a:avLst/>
        </a:prstGeom>
        <a:noFill/>
        <a:ln w="9525">
          <a:noFill/>
          <a:miter lim="800000"/>
          <a:headEnd/>
          <a:tailEnd/>
        </a:ln>
      </xdr:spPr>
    </xdr:sp>
    <xdr:clientData/>
  </xdr:oneCellAnchor>
  <xdr:oneCellAnchor>
    <xdr:from>
      <xdr:col>2</xdr:col>
      <xdr:colOff>3257550</xdr:colOff>
      <xdr:row>62</xdr:row>
      <xdr:rowOff>0</xdr:rowOff>
    </xdr:from>
    <xdr:ext cx="295275" cy="28575"/>
    <xdr:sp macro="" textlink="">
      <xdr:nvSpPr>
        <xdr:cNvPr id="2467" name="AutoShape 40" descr="http://myacademy/eltcms/pix/i/course.gif"/>
        <xdr:cNvSpPr>
          <a:spLocks noChangeAspect="1" noChangeArrowheads="1"/>
        </xdr:cNvSpPr>
      </xdr:nvSpPr>
      <xdr:spPr bwMode="auto">
        <a:xfrm>
          <a:off x="3171825" y="30861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468"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469"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47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47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47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3"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4"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5"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7"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480"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481"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482"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483"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484"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485"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486"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7"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8"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9"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1"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494"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495"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496"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497"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498"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49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0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0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2"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3"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4"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6"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09"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10"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11"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12"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13"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14"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15"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6"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7"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8"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0"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23"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24"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25"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2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27"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28"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2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3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31"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32"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33"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3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35"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3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3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38"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39"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40"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41"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42"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43"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44"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45"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46"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47"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4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49"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5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5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52"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53"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54"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5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56"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57"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58"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5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60"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61"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62"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6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64"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6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6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67"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68"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69"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70"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71"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72"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73"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74"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75"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7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77"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7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7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80"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81"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82"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8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84"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8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8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587"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88"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89"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90"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9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92"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9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9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95"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96"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97"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98"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599"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00"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01"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02"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03"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04"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0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06"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0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0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09"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10"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11"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1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13"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1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1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1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17"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18"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19"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2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21"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2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2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24"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25"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26"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27"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28"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29"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30"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31"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32"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33"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3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35"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3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3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38"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39"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40"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4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42"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4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4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4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46"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47"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48"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4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50"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5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5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53"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54"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55"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56"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57"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58"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59"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60"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61"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62"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6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64"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6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6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67"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68"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69"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7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71"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7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7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7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75"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76"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77"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7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79"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8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8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82"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83"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84"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85"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86"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87"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688"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89"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90"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91"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9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93"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9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69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96"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97"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98"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69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00"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0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0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0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04"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05"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06"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0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08"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0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1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11"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12"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13"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14"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15"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16"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17"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18"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19"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20"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2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22"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2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2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25"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26"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27"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28"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29"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3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3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3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33"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34"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35"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3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37"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3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3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40"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41"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42"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43"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44"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45"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46"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47"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48"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49"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5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51"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5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5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54"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55"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56"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57"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58"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5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6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6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62"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63"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64"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6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66"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6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6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69"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70"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71"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72"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73"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74"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75"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76"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77"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78"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7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80"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8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8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83"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84"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85"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8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87"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88"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8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79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91"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92"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93"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9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95"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9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79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98"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799"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800"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801"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802"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803"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2804"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05" name="AutoShape 40"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06" name="AutoShape 9"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07"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08" name="AutoShape 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09"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10"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11" name="AutoShape 11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12" name="AutoShape 40"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13" name="AutoShape 9"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14"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15" name="AutoShape 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16"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17"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18" name="AutoShape 109"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19" name="AutoShape 40"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20" name="AutoShape 9"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21"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22" name="AutoShape 4"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23"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24"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25"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26" name="AutoShape 114"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27" name="AutoShape 40"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28" name="AutoShape 9"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29"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30" name="AutoShape 4"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31"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32"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33" name="AutoShape 109"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34" name="AutoShape 40"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35" name="AutoShape 9"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36"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37" name="AutoShape 4"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38"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39"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2840"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41" name="AutoShape 114"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42" name="AutoShape 40"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43" name="AutoShape 9"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44"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45" name="AutoShape 4"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46"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847"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48" name="AutoShape 11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49" name="AutoShape 40"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50" name="AutoShape 9"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51"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52" name="AutoShape 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53"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54"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55" name="AutoShape 11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56" name="AutoShape 40"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57" name="AutoShape 9"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58"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59" name="AutoShape 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60"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861"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86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86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86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65"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66"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67"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68"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69"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870" name="AutoShape 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871"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872"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73" name="AutoShape 63"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74"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75"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76"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77"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78"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79"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880"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881"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882"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88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884"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88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88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887"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88" name="AutoShape 11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89"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90"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91"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92"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93"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894"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895" name="AutoShape 11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896" name="AutoShape 40"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897" name="AutoShape 9"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898"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899" name="AutoShape 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00"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01"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02" name="AutoShape 63"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03"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04"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05"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06"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07"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08"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09"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10"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11"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1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13"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1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1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1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17" name="AutoShape 11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18"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19"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20"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21"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22"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23"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24" name="AutoShape 11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25" name="AutoShape 40"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26" name="AutoShape 9"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27"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28" name="AutoShape 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29"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30"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31" name="AutoShape 63"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32"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33"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34"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35"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36"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37"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38"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39"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40"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4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42"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4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294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46" name="AutoShape 11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47"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48"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49"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50"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51"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952"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53" name="AutoShape 11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54" name="AutoShape 40"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55" name="AutoShape 9"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56"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57" name="AutoShape 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58"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959"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60"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61" name="AutoShape 4"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62"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63"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64"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65" name="AutoShape 63"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66" name="AutoShape 40"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67" name="AutoShape 9"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68"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69" name="AutoShape 4"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70"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71"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72"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73" name="AutoShape 63"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74" name="AutoShape 40"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75" name="AutoShape 9"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76"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77" name="AutoShape 4"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78"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79"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80"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81" name="AutoShape 63"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82" name="AutoShape 40"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83" name="AutoShape 9"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84"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85" name="AutoShape 4"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86"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87"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88"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89" name="AutoShape 63"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90" name="AutoShape 40"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91" name="AutoShape 9"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92"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93" name="AutoShape 4"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94"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95"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996"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97" name="AutoShape 63"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98" name="AutoShape 40"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999" name="AutoShape 9"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3000"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3001" name="AutoShape 4"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3002"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3003"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3004"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3005" name="AutoShape 63"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3006" name="AutoShape 40"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3007" name="AutoShape 9"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3008"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3009" name="AutoShape 4"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3010"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3011"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2</xdr:col>
      <xdr:colOff>2922010</xdr:colOff>
      <xdr:row>15</xdr:row>
      <xdr:rowOff>0</xdr:rowOff>
    </xdr:from>
    <xdr:ext cx="295275" cy="28575"/>
    <xdr:sp macro="" textlink="">
      <xdr:nvSpPr>
        <xdr:cNvPr id="3014" name="AutoShape 40" descr="http://myacademy/eltcms/pix/i/course.gif"/>
        <xdr:cNvSpPr>
          <a:spLocks noChangeAspect="1" noChangeArrowheads="1"/>
        </xdr:cNvSpPr>
      </xdr:nvSpPr>
      <xdr:spPr bwMode="auto">
        <a:xfrm>
          <a:off x="6493885" y="1472045"/>
          <a:ext cx="295275" cy="28575"/>
        </a:xfrm>
        <a:prstGeom prst="rect">
          <a:avLst/>
        </a:prstGeom>
        <a:noFill/>
        <a:ln w="9525">
          <a:noFill/>
          <a:miter lim="800000"/>
          <a:headEnd/>
          <a:tailEnd/>
        </a:ln>
      </xdr:spPr>
    </xdr:sp>
    <xdr:clientData/>
  </xdr:oneCellAnchor>
  <xdr:oneCellAnchor>
    <xdr:from>
      <xdr:col>3</xdr:col>
      <xdr:colOff>963324</xdr:colOff>
      <xdr:row>15</xdr:row>
      <xdr:rowOff>0</xdr:rowOff>
    </xdr:from>
    <xdr:ext cx="295275" cy="169011"/>
    <xdr:sp macro="" textlink="">
      <xdr:nvSpPr>
        <xdr:cNvPr id="3015" name="AutoShape 1" descr="http://myacademy/eltcms/pix/i/course.gif"/>
        <xdr:cNvSpPr>
          <a:spLocks noChangeAspect="1" noChangeArrowheads="1"/>
        </xdr:cNvSpPr>
      </xdr:nvSpPr>
      <xdr:spPr bwMode="auto">
        <a:xfrm>
          <a:off x="8117898" y="1223097"/>
          <a:ext cx="295275" cy="169011"/>
        </a:xfrm>
        <a:prstGeom prst="rect">
          <a:avLst/>
        </a:prstGeom>
        <a:noFill/>
        <a:ln w="9525">
          <a:noFill/>
          <a:miter lim="800000"/>
          <a:headEnd/>
          <a:tailEnd/>
        </a:ln>
      </xdr:spPr>
    </xdr:sp>
    <xdr:clientData/>
  </xdr:oneCellAnchor>
  <xdr:oneCellAnchor>
    <xdr:from>
      <xdr:col>2</xdr:col>
      <xdr:colOff>2922010</xdr:colOff>
      <xdr:row>62</xdr:row>
      <xdr:rowOff>0</xdr:rowOff>
    </xdr:from>
    <xdr:ext cx="295275" cy="28575"/>
    <xdr:sp macro="" textlink="">
      <xdr:nvSpPr>
        <xdr:cNvPr id="3016" name="AutoShape 40" descr="http://myacademy/eltcms/pix/i/course.gif"/>
        <xdr:cNvSpPr>
          <a:spLocks noChangeAspect="1" noChangeArrowheads="1"/>
        </xdr:cNvSpPr>
      </xdr:nvSpPr>
      <xdr:spPr bwMode="auto">
        <a:xfrm>
          <a:off x="6493885" y="1861704"/>
          <a:ext cx="295275" cy="28575"/>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3017" name="AutoShape 1" descr="http://myacademy/eltcms/pix/i/course.gif"/>
        <xdr:cNvSpPr>
          <a:spLocks noChangeAspect="1" noChangeArrowheads="1"/>
        </xdr:cNvSpPr>
      </xdr:nvSpPr>
      <xdr:spPr bwMode="auto">
        <a:xfrm>
          <a:off x="8117898" y="1612756"/>
          <a:ext cx="295275" cy="169011"/>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18"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19"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20"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21"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22"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23"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24"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25"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26"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27"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28"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29"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30"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31"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32"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33"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34"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35"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36"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37"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38"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39"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40"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41"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42"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43"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44"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45"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46"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47"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48"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49"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5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51"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52"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53"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54"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55"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56"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57"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58"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59"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6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61"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62"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63"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64"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65"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66"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67"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68"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69"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7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71"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72"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73"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74"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75"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76"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77"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78"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79"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80"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81"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82"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83"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084"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85"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86"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87"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88"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89"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9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91"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92"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93"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94"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95"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96"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2922010</xdr:colOff>
      <xdr:row>15</xdr:row>
      <xdr:rowOff>0</xdr:rowOff>
    </xdr:from>
    <xdr:ext cx="295275" cy="28575"/>
    <xdr:sp macro="" textlink="">
      <xdr:nvSpPr>
        <xdr:cNvPr id="3097" name="AutoShape 40" descr="http://myacademy/eltcms/pix/i/course.gif"/>
        <xdr:cNvSpPr>
          <a:spLocks noChangeAspect="1" noChangeArrowheads="1"/>
        </xdr:cNvSpPr>
      </xdr:nvSpPr>
      <xdr:spPr bwMode="auto">
        <a:xfrm>
          <a:off x="6493885" y="1277215"/>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98"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099"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0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01"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02"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03"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04"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05"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06"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07"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08"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09"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1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11"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12"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13"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14"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15"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16"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17"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18"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19"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20"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21"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22"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23"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3124"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25"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26"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27"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28"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29"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3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31"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32"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33"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34"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3135"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963324</xdr:colOff>
      <xdr:row>15</xdr:row>
      <xdr:rowOff>0</xdr:rowOff>
    </xdr:from>
    <xdr:ext cx="295275" cy="169011"/>
    <xdr:sp macro="" textlink="">
      <xdr:nvSpPr>
        <xdr:cNvPr id="3139" name="AutoShape 1" descr="http://myacademy/eltcms/pix/i/course.gif"/>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3143" name="AutoShape 1" descr="http://myacademy/eltcms/pix/i/course.gif"/>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3144" name="AutoShape 1" descr="http://myacademy/eltcms/pix/i/course.gif"/>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2</xdr:col>
      <xdr:colOff>2922010</xdr:colOff>
      <xdr:row>4</xdr:row>
      <xdr:rowOff>184005</xdr:rowOff>
    </xdr:from>
    <xdr:ext cx="295275" cy="28575"/>
    <xdr:sp macro="" textlink="">
      <xdr:nvSpPr>
        <xdr:cNvPr id="3145" name="AutoShape 40" descr="http://myacademy/eltcms/pix/i/course.gif"/>
        <xdr:cNvSpPr>
          <a:spLocks noChangeAspect="1" noChangeArrowheads="1"/>
        </xdr:cNvSpPr>
      </xdr:nvSpPr>
      <xdr:spPr bwMode="auto">
        <a:xfrm>
          <a:off x="6493885" y="2446193"/>
          <a:ext cx="295275" cy="28575"/>
        </a:xfrm>
        <a:prstGeom prst="rect">
          <a:avLst/>
        </a:prstGeom>
        <a:noFill/>
        <a:ln w="9525">
          <a:noFill/>
          <a:miter lim="800000"/>
          <a:headEnd/>
          <a:tailEnd/>
        </a:ln>
      </xdr:spPr>
    </xdr:sp>
    <xdr:clientData/>
  </xdr:oneCellAnchor>
  <xdr:oneCellAnchor>
    <xdr:from>
      <xdr:col>2</xdr:col>
      <xdr:colOff>2922010</xdr:colOff>
      <xdr:row>17</xdr:row>
      <xdr:rowOff>0</xdr:rowOff>
    </xdr:from>
    <xdr:ext cx="295275" cy="28575"/>
    <xdr:sp macro="" textlink="">
      <xdr:nvSpPr>
        <xdr:cNvPr id="3148" name="AutoShape 40" descr="http://myacademy/eltcms/pix/i/course.gif"/>
        <xdr:cNvSpPr>
          <a:spLocks noChangeAspect="1" noChangeArrowheads="1"/>
        </xdr:cNvSpPr>
      </xdr:nvSpPr>
      <xdr:spPr bwMode="auto">
        <a:xfrm>
          <a:off x="6883544" y="1666874"/>
          <a:ext cx="295275" cy="28575"/>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49"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5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51"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5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5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54"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55"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56"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5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58"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5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6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61"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62"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63"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6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65"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6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6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68"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69"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70"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7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72"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7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7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75"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76"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77"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7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79"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8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8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82"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83"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84"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8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86"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8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8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89"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90"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91"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9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93"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9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9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96"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97"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98"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19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00"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0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0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03"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04"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0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06"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0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0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09"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10"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11"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1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13"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1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1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16"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17"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18"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1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20"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2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2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23"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24"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25"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2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27"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2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2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30"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31"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32"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3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34"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3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3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37"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38"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39"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4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41"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4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4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44"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45"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46"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4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48"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4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5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51"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52"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53"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5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55"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5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5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58"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59"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60"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6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62"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6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6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65"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66"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67"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6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69"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7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7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72"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73"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74"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7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76"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7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7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79"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80"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81"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8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83"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8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8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86"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87"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88"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8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90"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9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9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93"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94"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95"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9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97"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9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29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00"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01"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02"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0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04"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0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0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07"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08"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09"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1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11"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1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331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14"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15"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16"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17"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18"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19"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20"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21"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22"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23"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24"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25"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26"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27" name="AutoShape 11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28" name="AutoShape 40"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29" name="AutoShape 9"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30"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31" name="AutoShape 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32"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33"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34" name="AutoShape 11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35" name="AutoShape 40"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36" name="AutoShape 9"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37"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38" name="AutoShape 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39"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340"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41"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42"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43"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44"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45"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46"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47"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48"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49"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50"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51"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52"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53"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54"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55"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56"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57"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58"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59"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60" name="AutoShape 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61"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62"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63" name="AutoShape 63"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64"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65"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66"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67"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68"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69"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70" name="AutoShape 11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71"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72"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73"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74"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75"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76"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77" name="AutoShape 11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78" name="AutoShape 40"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79" name="AutoShape 9"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80"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81" name="AutoShape 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82"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83"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84" name="AutoShape 63"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85"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86"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87"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88"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89"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90"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91" name="AutoShape 11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92"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93"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94"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95"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96"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397"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98" name="AutoShape 11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399" name="AutoShape 40"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00" name="AutoShape 9"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01"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02" name="AutoShape 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03"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04"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05" name="AutoShape 63"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06"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07"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08"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09"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10"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11"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12" name="AutoShape 11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13"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14"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15"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16"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17"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418"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19" name="AutoShape 11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20" name="AutoShape 40"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21" name="AutoShape 9"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22"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23" name="AutoShape 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24"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425"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26"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27" name="AutoShape 4"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28"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29"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30"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31" name="AutoShape 63"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32" name="AutoShape 40"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33" name="AutoShape 9"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34"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35" name="AutoShape 4"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36"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37"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38"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39" name="AutoShape 63"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40" name="AutoShape 40"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41" name="AutoShape 9"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42"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43" name="AutoShape 4"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44"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45"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46"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47" name="AutoShape 63"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48" name="AutoShape 40"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49" name="AutoShape 9"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50"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51" name="AutoShape 4"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52"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53"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54"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55" name="AutoShape 63"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56" name="AutoShape 40"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57" name="AutoShape 9"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58"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59" name="AutoShape 4"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60"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61"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462"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63" name="AutoShape 63"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64" name="AutoShape 40"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65" name="AutoShape 9"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66"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67" name="AutoShape 4"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68"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469"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2</xdr:col>
      <xdr:colOff>2922010</xdr:colOff>
      <xdr:row>20</xdr:row>
      <xdr:rowOff>0</xdr:rowOff>
    </xdr:from>
    <xdr:ext cx="295275" cy="28575"/>
    <xdr:sp macro="" textlink="">
      <xdr:nvSpPr>
        <xdr:cNvPr id="3478" name="AutoShape 40" descr="http://myacademy/eltcms/pix/i/course.gif"/>
        <xdr:cNvSpPr>
          <a:spLocks noChangeAspect="1" noChangeArrowheads="1"/>
        </xdr:cNvSpPr>
      </xdr:nvSpPr>
      <xdr:spPr bwMode="auto">
        <a:xfrm>
          <a:off x="6883544" y="1677699"/>
          <a:ext cx="295275" cy="28575"/>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3479" name="AutoShape 1" descr="http://myacademy/eltcms/pix/i/course.gif"/>
        <xdr:cNvSpPr>
          <a:spLocks noChangeAspect="1" noChangeArrowheads="1"/>
        </xdr:cNvSpPr>
      </xdr:nvSpPr>
      <xdr:spPr bwMode="auto">
        <a:xfrm>
          <a:off x="8507557" y="1677699"/>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480"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81"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82"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83"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84"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85"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86"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87"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88"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89"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90"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91"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492"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493"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494"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495"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496"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497"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498"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499"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00"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01"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02"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03"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04"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05"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06"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07"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08"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09"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10"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11"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12"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1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14"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15"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16"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17"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18"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19"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20"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21"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22"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2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24"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25"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26"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27"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28"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29"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30"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31"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32"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3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34"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35"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36"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37"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38"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39"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40"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41"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42"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43"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44"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45"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46"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47"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48"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49"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50"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51"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52"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5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54"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55"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56"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57"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58"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59"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2922010</xdr:colOff>
      <xdr:row>20</xdr:row>
      <xdr:rowOff>0</xdr:rowOff>
    </xdr:from>
    <xdr:ext cx="295275" cy="28575"/>
    <xdr:sp macro="" textlink="">
      <xdr:nvSpPr>
        <xdr:cNvPr id="3560" name="AutoShape 40" descr="http://myacademy/eltcms/pix/i/course.gif"/>
        <xdr:cNvSpPr>
          <a:spLocks noChangeAspect="1" noChangeArrowheads="1"/>
        </xdr:cNvSpPr>
      </xdr:nvSpPr>
      <xdr:spPr bwMode="auto">
        <a:xfrm>
          <a:off x="6883544" y="1677699"/>
          <a:ext cx="295275" cy="285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61"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62"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6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64"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65"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66"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67"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68"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69"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70"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71"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72"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7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74"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75"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76"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77"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78"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79"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80"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81"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82"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83"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84"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85"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86"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587"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88"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89"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90"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91"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92"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9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94"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95"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96"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97"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98"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599"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00"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01"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3602" name="AutoShape 1" descr="http://myacademy/eltcms/pix/i/course.gif"/>
        <xdr:cNvSpPr>
          <a:spLocks noChangeAspect="1" noChangeArrowheads="1"/>
        </xdr:cNvSpPr>
      </xdr:nvSpPr>
      <xdr:spPr bwMode="auto">
        <a:xfrm>
          <a:off x="8507557" y="1677699"/>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606"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607"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08"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09"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10"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11"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12"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13"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14"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15"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16"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17"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18"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19"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20"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21" name="AutoShape 11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22" name="AutoShape 40"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23" name="AutoShape 9"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24"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25" name="AutoShape 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26"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27"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28" name="AutoShape 11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29" name="AutoShape 40"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30" name="AutoShape 9"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31"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32" name="AutoShape 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33"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634"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35"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36"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37"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38"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39"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40"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41"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42"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43"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44"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45"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46"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47"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648"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649"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650"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651"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53"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5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55"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5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5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58"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59"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60"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6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62"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6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6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65"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66"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67"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6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69"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7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7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72"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73"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74"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7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76"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7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7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79"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80"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81"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8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83"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8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8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86"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87"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88"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8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90"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9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9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93"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94"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95"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9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97"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9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69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00"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01"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02"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0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04"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0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0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07"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08"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0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10"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1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1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13"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14"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15"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1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17"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1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1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20"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21"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22"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2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24"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2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2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27"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28"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29"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3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31"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3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3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34"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35"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36"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3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38"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3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4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41"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42"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43"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4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45"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4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4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48"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49"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50"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5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52"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5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5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55"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56"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57"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5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59"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6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6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62"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63"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64"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6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66"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6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6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69"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70"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71"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7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73"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7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7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76"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77"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78"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7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80"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8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8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83"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84"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85"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8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87"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8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8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90"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91"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92"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9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94"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9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9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97"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98"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799"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0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01"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0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0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04"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05"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06"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0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08"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0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1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11"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12"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13"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1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15"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1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4</xdr:col>
      <xdr:colOff>0</xdr:colOff>
      <xdr:row>26</xdr:row>
      <xdr:rowOff>0</xdr:rowOff>
    </xdr:from>
    <xdr:ext cx="295275" cy="163747"/>
    <xdr:sp macro="" textlink="">
      <xdr:nvSpPr>
        <xdr:cNvPr id="381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18" name="AutoShape 40"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19" name="AutoShape 9"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20"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21" name="AutoShape 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22"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23"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24" name="AutoShape 11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25" name="AutoShape 40"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26" name="AutoShape 9"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27"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28" name="AutoShape 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29"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30"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31" name="AutoShape 114"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32" name="AutoShape 40"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33" name="AutoShape 9"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34"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35" name="AutoShape 4"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36"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37"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38" name="AutoShape 114"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39" name="AutoShape 40"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40" name="AutoShape 9"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41"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42" name="AutoShape 4"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43"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844"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45" name="AutoShape 11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46" name="AutoShape 40"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47" name="AutoShape 9"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48"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49" name="AutoShape 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50"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51"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52" name="AutoShape 11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53" name="AutoShape 40"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54" name="AutoShape 9"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55"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56" name="AutoShape 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57"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858"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59"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60"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61"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62"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63"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864" name="AutoShape 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865"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866"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67" name="AutoShape 63"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68"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69"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70"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71"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72"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73"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74" name="AutoShape 11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75"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76"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77"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78"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79"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80"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881" name="AutoShape 11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882" name="AutoShape 40"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883" name="AutoShape 9"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884"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885" name="AutoShape 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886"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887"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88" name="AutoShape 63"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89"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90"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91"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92"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93"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94"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95" name="AutoShape 11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96"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97"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98"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899"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00"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01"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02" name="AutoShape 11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03" name="AutoShape 40"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04" name="AutoShape 9"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05"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06" name="AutoShape 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07"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08"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09" name="AutoShape 63"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10"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11"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12"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13"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14"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15"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16" name="AutoShape 11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17"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18"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19"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20"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21"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5652"/>
    <xdr:sp macro="" textlink="">
      <xdr:nvSpPr>
        <xdr:cNvPr id="3922"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23" name="AutoShape 11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24" name="AutoShape 40"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25" name="AutoShape 9"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26"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27" name="AutoShape 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26</xdr:row>
      <xdr:rowOff>0</xdr:rowOff>
    </xdr:from>
    <xdr:ext cx="295275" cy="169011"/>
    <xdr:sp macro="" textlink="">
      <xdr:nvSpPr>
        <xdr:cNvPr id="3928"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30"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31" name="AutoShape 4"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32"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33"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34"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35" name="AutoShape 63"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36" name="AutoShape 40"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37" name="AutoShape 9"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38"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39" name="AutoShape 4"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40"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41"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42"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43" name="AutoShape 63"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44" name="AutoShape 40"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45" name="AutoShape 9"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46"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47" name="AutoShape 4"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48"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49"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50"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51" name="AutoShape 63"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52" name="AutoShape 40"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53" name="AutoShape 9"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54"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55" name="AutoShape 4"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56"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57"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58"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59" name="AutoShape 63"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60" name="AutoShape 40"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61" name="AutoShape 9"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62"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63" name="AutoShape 4"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64"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65"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66"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67" name="AutoShape 63"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68" name="AutoShape 40"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69" name="AutoShape 9"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70"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71" name="AutoShape 4"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72"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73"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974"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75" name="AutoShape 63"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76" name="AutoShape 40"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77" name="AutoShape 9"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78"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79" name="AutoShape 4"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980"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2</xdr:col>
      <xdr:colOff>2922010</xdr:colOff>
      <xdr:row>23</xdr:row>
      <xdr:rowOff>0</xdr:rowOff>
    </xdr:from>
    <xdr:ext cx="295275" cy="28575"/>
    <xdr:sp macro="" textlink="">
      <xdr:nvSpPr>
        <xdr:cNvPr id="3982" name="AutoShape 40" descr="http://myacademy/eltcms/pix/i/course.gif"/>
        <xdr:cNvSpPr>
          <a:spLocks noChangeAspect="1" noChangeArrowheads="1"/>
        </xdr:cNvSpPr>
      </xdr:nvSpPr>
      <xdr:spPr bwMode="auto">
        <a:xfrm>
          <a:off x="6883544" y="2067358"/>
          <a:ext cx="295275" cy="28575"/>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3983" name="AutoShape 1" descr="http://myacademy/eltcms/pix/i/course.gif"/>
        <xdr:cNvSpPr>
          <a:spLocks noChangeAspect="1" noChangeArrowheads="1"/>
        </xdr:cNvSpPr>
      </xdr:nvSpPr>
      <xdr:spPr bwMode="auto">
        <a:xfrm>
          <a:off x="8507557" y="2067358"/>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3984" name="AutoShape 1" descr="http://myacademy/eltcms/pix/i/course.gif"/>
        <xdr:cNvSpPr>
          <a:spLocks noChangeAspect="1" noChangeArrowheads="1"/>
        </xdr:cNvSpPr>
      </xdr:nvSpPr>
      <xdr:spPr bwMode="auto">
        <a:xfrm>
          <a:off x="8507557" y="2381251"/>
          <a:ext cx="295275" cy="169011"/>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85"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86"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87"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88"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89"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90"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91"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92"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93"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94"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95"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996"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997"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998"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999"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00"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01"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02"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03"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04"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05"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06"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07"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08"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09"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10"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11"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12"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13"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14"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15"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16"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1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18"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19"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20"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21"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22"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23"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24"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25"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26"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2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28"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29"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30"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31"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32"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33"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34"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35"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36"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3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38"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39"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40"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41"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42"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43"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44"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45"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46"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47"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48"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49"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50"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51"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52"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53"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54"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55"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56"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5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58"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59"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60"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61"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62"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63"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2922010</xdr:colOff>
      <xdr:row>23</xdr:row>
      <xdr:rowOff>0</xdr:rowOff>
    </xdr:from>
    <xdr:ext cx="295275" cy="28575"/>
    <xdr:sp macro="" textlink="">
      <xdr:nvSpPr>
        <xdr:cNvPr id="4064" name="AutoShape 40" descr="http://myacademy/eltcms/pix/i/course.gif"/>
        <xdr:cNvSpPr>
          <a:spLocks noChangeAspect="1" noChangeArrowheads="1"/>
        </xdr:cNvSpPr>
      </xdr:nvSpPr>
      <xdr:spPr bwMode="auto">
        <a:xfrm>
          <a:off x="6883544" y="2067358"/>
          <a:ext cx="295275" cy="285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65"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66"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6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68"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69"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70"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71"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72"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73"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74"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75"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76"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7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78"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79"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80"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81"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82"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83"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84"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85"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86"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87"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88"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89"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90"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4091"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92"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93"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94"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95"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96"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9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98"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099"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100"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101"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102"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103"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104"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4105"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4106" name="AutoShape 1" descr="http://myacademy/eltcms/pix/i/course.gif"/>
        <xdr:cNvSpPr>
          <a:spLocks noChangeAspect="1" noChangeArrowheads="1"/>
        </xdr:cNvSpPr>
      </xdr:nvSpPr>
      <xdr:spPr bwMode="auto">
        <a:xfrm>
          <a:off x="8507557" y="2067358"/>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4108" name="AutoShape 1" descr="http://myacademy/eltcms/pix/i/course.gif"/>
        <xdr:cNvSpPr>
          <a:spLocks noChangeAspect="1" noChangeArrowheads="1"/>
        </xdr:cNvSpPr>
      </xdr:nvSpPr>
      <xdr:spPr bwMode="auto">
        <a:xfrm>
          <a:off x="8507557" y="2197245"/>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4110" name="AutoShape 1" descr="http://myacademy/eltcms/pix/i/course.gif"/>
        <xdr:cNvSpPr>
          <a:spLocks noChangeAspect="1" noChangeArrowheads="1"/>
        </xdr:cNvSpPr>
      </xdr:nvSpPr>
      <xdr:spPr bwMode="auto">
        <a:xfrm>
          <a:off x="8507557" y="2381251"/>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4111" name="AutoShape 1" descr="http://myacademy/eltcms/pix/i/course.gif"/>
        <xdr:cNvSpPr>
          <a:spLocks noChangeAspect="1" noChangeArrowheads="1"/>
        </xdr:cNvSpPr>
      </xdr:nvSpPr>
      <xdr:spPr bwMode="auto">
        <a:xfrm>
          <a:off x="8507557" y="2381251"/>
          <a:ext cx="295275" cy="169011"/>
        </a:xfrm>
        <a:prstGeom prst="rect">
          <a:avLst/>
        </a:prstGeom>
        <a:noFill/>
        <a:ln w="9525">
          <a:noFill/>
          <a:miter lim="800000"/>
          <a:headEnd/>
          <a:tailEnd/>
        </a:ln>
      </xdr:spPr>
    </xdr:sp>
    <xdr:clientData/>
  </xdr:oneCellAnchor>
  <xdr:oneCellAnchor>
    <xdr:from>
      <xdr:col>6</xdr:col>
      <xdr:colOff>865908</xdr:colOff>
      <xdr:row>17</xdr:row>
      <xdr:rowOff>43295</xdr:rowOff>
    </xdr:from>
    <xdr:ext cx="500929" cy="562050"/>
    <xdr:sp macro="" textlink="">
      <xdr:nvSpPr>
        <xdr:cNvPr id="4109" name="AutoShape 1" descr="http://myacademy/eltcms/pix/i/course.gif"/>
        <xdr:cNvSpPr>
          <a:spLocks noChangeAspect="1" noChangeArrowheads="1"/>
        </xdr:cNvSpPr>
      </xdr:nvSpPr>
      <xdr:spPr bwMode="auto">
        <a:xfrm>
          <a:off x="11927897" y="3474460"/>
          <a:ext cx="500929" cy="562050"/>
        </a:xfrm>
        <a:prstGeom prst="rect">
          <a:avLst/>
        </a:prstGeom>
        <a:noFill/>
        <a:ln w="9525">
          <a:noFill/>
          <a:miter lim="800000"/>
          <a:headEnd/>
          <a:tailEnd/>
        </a:ln>
      </xdr:spPr>
    </xdr:sp>
    <xdr:clientData/>
  </xdr:oneCellAnchor>
  <xdr:oneCellAnchor>
    <xdr:from>
      <xdr:col>3</xdr:col>
      <xdr:colOff>963324</xdr:colOff>
      <xdr:row>28</xdr:row>
      <xdr:rowOff>0</xdr:rowOff>
    </xdr:from>
    <xdr:ext cx="295275" cy="169011"/>
    <xdr:sp macro="" textlink="">
      <xdr:nvSpPr>
        <xdr:cNvPr id="4112" name="AutoShape 1" descr="http://myacademy/eltcms/pix/i/course.gif"/>
        <xdr:cNvSpPr>
          <a:spLocks noChangeAspect="1" noChangeArrowheads="1"/>
        </xdr:cNvSpPr>
      </xdr:nvSpPr>
      <xdr:spPr bwMode="auto">
        <a:xfrm>
          <a:off x="8507557" y="2760086"/>
          <a:ext cx="295275" cy="169011"/>
        </a:xfrm>
        <a:prstGeom prst="rect">
          <a:avLst/>
        </a:prstGeom>
        <a:noFill/>
        <a:ln w="9525">
          <a:noFill/>
          <a:miter lim="800000"/>
          <a:headEnd/>
          <a:tailEnd/>
        </a:ln>
      </xdr:spPr>
    </xdr:sp>
    <xdr:clientData/>
  </xdr:oneCellAnchor>
  <xdr:oneCellAnchor>
    <xdr:from>
      <xdr:col>3</xdr:col>
      <xdr:colOff>963324</xdr:colOff>
      <xdr:row>28</xdr:row>
      <xdr:rowOff>0</xdr:rowOff>
    </xdr:from>
    <xdr:ext cx="295275" cy="169011"/>
    <xdr:sp macro="" textlink="">
      <xdr:nvSpPr>
        <xdr:cNvPr id="4113" name="AutoShape 1" descr="http://myacademy/eltcms/pix/i/course.gif"/>
        <xdr:cNvSpPr>
          <a:spLocks noChangeAspect="1" noChangeArrowheads="1"/>
        </xdr:cNvSpPr>
      </xdr:nvSpPr>
      <xdr:spPr bwMode="auto">
        <a:xfrm>
          <a:off x="8507557" y="2760086"/>
          <a:ext cx="295275" cy="169011"/>
        </a:xfrm>
        <a:prstGeom prst="rect">
          <a:avLst/>
        </a:prstGeom>
        <a:noFill/>
        <a:ln w="9525">
          <a:noFill/>
          <a:miter lim="800000"/>
          <a:headEnd/>
          <a:tailEnd/>
        </a:ln>
      </xdr:spPr>
    </xdr:sp>
    <xdr:clientData/>
  </xdr:oneCellAnchor>
  <xdr:oneCellAnchor>
    <xdr:from>
      <xdr:col>3</xdr:col>
      <xdr:colOff>963324</xdr:colOff>
      <xdr:row>28</xdr:row>
      <xdr:rowOff>0</xdr:rowOff>
    </xdr:from>
    <xdr:ext cx="295275" cy="169011"/>
    <xdr:sp macro="" textlink="">
      <xdr:nvSpPr>
        <xdr:cNvPr id="4114" name="AutoShape 1" descr="http://myacademy/eltcms/pix/i/course.gif"/>
        <xdr:cNvSpPr>
          <a:spLocks noChangeAspect="1" noChangeArrowheads="1"/>
        </xdr:cNvSpPr>
      </xdr:nvSpPr>
      <xdr:spPr bwMode="auto">
        <a:xfrm>
          <a:off x="8507557" y="2760086"/>
          <a:ext cx="295275" cy="169011"/>
        </a:xfrm>
        <a:prstGeom prst="rect">
          <a:avLst/>
        </a:prstGeom>
        <a:noFill/>
        <a:ln w="9525">
          <a:noFill/>
          <a:miter lim="800000"/>
          <a:headEnd/>
          <a:tailEnd/>
        </a:ln>
      </xdr:spPr>
    </xdr:sp>
    <xdr:clientData/>
  </xdr:oneCellAnchor>
  <xdr:oneCellAnchor>
    <xdr:from>
      <xdr:col>3</xdr:col>
      <xdr:colOff>963324</xdr:colOff>
      <xdr:row>27</xdr:row>
      <xdr:rowOff>0</xdr:rowOff>
    </xdr:from>
    <xdr:ext cx="295275" cy="169011"/>
    <xdr:sp macro="" textlink="">
      <xdr:nvSpPr>
        <xdr:cNvPr id="4115" name="AutoShape 1" descr="http://myacademy/eltcms/pix/i/course.gif"/>
        <xdr:cNvSpPr>
          <a:spLocks noChangeAspect="1" noChangeArrowheads="1"/>
        </xdr:cNvSpPr>
      </xdr:nvSpPr>
      <xdr:spPr bwMode="auto">
        <a:xfrm>
          <a:off x="8507557" y="3149745"/>
          <a:ext cx="295275" cy="169011"/>
        </a:xfrm>
        <a:prstGeom prst="rect">
          <a:avLst/>
        </a:prstGeom>
        <a:noFill/>
        <a:ln w="9525">
          <a:noFill/>
          <a:miter lim="800000"/>
          <a:headEnd/>
          <a:tailEnd/>
        </a:ln>
      </xdr:spPr>
    </xdr:sp>
    <xdr:clientData/>
  </xdr:oneCellAnchor>
  <xdr:oneCellAnchor>
    <xdr:from>
      <xdr:col>3</xdr:col>
      <xdr:colOff>963324</xdr:colOff>
      <xdr:row>27</xdr:row>
      <xdr:rowOff>0</xdr:rowOff>
    </xdr:from>
    <xdr:ext cx="295275" cy="169011"/>
    <xdr:sp macro="" textlink="">
      <xdr:nvSpPr>
        <xdr:cNvPr id="4116" name="AutoShape 1" descr="http://myacademy/eltcms/pix/i/course.gif"/>
        <xdr:cNvSpPr>
          <a:spLocks noChangeAspect="1" noChangeArrowheads="1"/>
        </xdr:cNvSpPr>
      </xdr:nvSpPr>
      <xdr:spPr bwMode="auto">
        <a:xfrm>
          <a:off x="8507557" y="3149745"/>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118" name="AutoShape 1" descr="http://myacademy/eltcms/pix/i/course.gif"/>
        <xdr:cNvSpPr>
          <a:spLocks noChangeAspect="1" noChangeArrowheads="1"/>
        </xdr:cNvSpPr>
      </xdr:nvSpPr>
      <xdr:spPr bwMode="auto">
        <a:xfrm>
          <a:off x="8507557" y="703551"/>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119" name="AutoShape 1" descr="http://myacademy/eltcms/pix/i/course.gif"/>
        <xdr:cNvSpPr>
          <a:spLocks noChangeAspect="1" noChangeArrowheads="1"/>
        </xdr:cNvSpPr>
      </xdr:nvSpPr>
      <xdr:spPr bwMode="auto">
        <a:xfrm>
          <a:off x="8507557" y="703551"/>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4120" name="AutoShape 1" descr="http://myacademy/eltcms/pix/i/course.gif"/>
        <xdr:cNvSpPr>
          <a:spLocks noChangeAspect="1" noChangeArrowheads="1"/>
        </xdr:cNvSpPr>
      </xdr:nvSpPr>
      <xdr:spPr bwMode="auto">
        <a:xfrm>
          <a:off x="8507557" y="703551"/>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4121" name="AutoShape 1" descr="http://myacademy/eltcms/pix/i/course.gif"/>
        <xdr:cNvSpPr>
          <a:spLocks noChangeAspect="1" noChangeArrowheads="1"/>
        </xdr:cNvSpPr>
      </xdr:nvSpPr>
      <xdr:spPr bwMode="auto">
        <a:xfrm>
          <a:off x="8507557" y="703551"/>
          <a:ext cx="295275" cy="169011"/>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22" name="AutoShape 40"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23" name="AutoShape 9"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24"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25" name="AutoShape 4"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26"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27"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28" name="AutoShape 114"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29" name="AutoShape 40"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30" name="AutoShape 9"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31"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32" name="AutoShape 4"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33"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34"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35" name="AutoShape 114"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36" name="AutoShape 40"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37" name="AutoShape 9"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38" name="AutoShape 1"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39" name="AutoShape 4"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40" name="AutoShape 1"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41" name="AutoShape 1"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42" name="AutoShape 114"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43" name="AutoShape 40"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44" name="AutoShape 9"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45" name="AutoShape 1"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46" name="AutoShape 4"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47" name="AutoShape 1"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4148" name="AutoShape 1" descr="http://myacademy/eltcms/pix/i/course.gif"/>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49" name="AutoShape 114"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50" name="AutoShape 40"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51" name="AutoShape 9"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52"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53" name="AutoShape 4"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54"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55"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56" name="AutoShape 114"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57" name="AutoShape 40"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58" name="AutoShape 9"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59"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60" name="AutoShape 4"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61"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4162" name="AutoShape 1" descr="http://myacademy/eltcms/pix/i/course.gif"/>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63"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64"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65"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66"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67"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68" name="AutoShape 11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69" name="AutoShape 40"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0"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1"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2"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3"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4"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75" name="AutoShape 11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76" name="AutoShape 40"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77" name="AutoShape 9"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78"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79" name="AutoShape 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80"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81"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82" name="AutoShape 11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83" name="AutoShape 40"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84" name="AutoShape 9"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85"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86" name="AutoShape 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87"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88"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89" name="AutoShape 11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0" name="AutoShape 40"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1"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2"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3"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4"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5"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6" name="AutoShape 11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7" name="AutoShape 40"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8"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9"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00"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01"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02" name="AutoShape 11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03" name="AutoShape 40"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04"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05"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06"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07"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08"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09" name="AutoShape 11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0" name="AutoShape 40"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1"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2"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3"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4"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5"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16" name="AutoShape 11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17" name="AutoShape 40"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18" name="AutoShape 9"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19"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20" name="AutoShape 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21"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22"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23" name="AutoShape 11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24" name="AutoShape 40"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25" name="AutoShape 9"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26"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27" name="AutoShape 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28"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29"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0" name="AutoShape 11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1" name="AutoShape 40"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2"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3"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4"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5"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6"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7" name="AutoShape 11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8" name="AutoShape 40"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9"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40"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41"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42" name="AutoShape 40"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43"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44"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45"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46"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47"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48" name="AutoShape 11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49" name="AutoShape 40"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0"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1"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2"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3"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4"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55" name="AutoShape 11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56" name="AutoShape 40"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57" name="AutoShape 9"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58"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59" name="AutoShape 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60"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61"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62" name="AutoShape 11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63" name="AutoShape 40"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64" name="AutoShape 9"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65"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66" name="AutoShape 4"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67"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68" name="AutoShape 1" descr="http://myacademy/eltcms/pix/i/course.gif"/>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69" name="AutoShape 11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70" name="AutoShape 40"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71"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72"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73"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74"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75"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76" name="AutoShape 11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77" name="AutoShape 40"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78" name="AutoShape 9"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79"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80" name="AutoShape 4"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81"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82" name="AutoShape 1" descr="http://myacademy/eltcms/pix/i/course.gif"/>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963324</xdr:colOff>
      <xdr:row>19</xdr:row>
      <xdr:rowOff>0</xdr:rowOff>
    </xdr:from>
    <xdr:ext cx="295275" cy="169011"/>
    <xdr:sp macro="" textlink="">
      <xdr:nvSpPr>
        <xdr:cNvPr id="4283" name="AutoShape 1" descr="http://myacademy/eltcms/pix/i/course.gif"/>
        <xdr:cNvSpPr>
          <a:spLocks noChangeAspect="1" noChangeArrowheads="1"/>
        </xdr:cNvSpPr>
      </xdr:nvSpPr>
      <xdr:spPr bwMode="auto">
        <a:xfrm>
          <a:off x="8507557" y="2651847"/>
          <a:ext cx="295275" cy="169011"/>
        </a:xfrm>
        <a:prstGeom prst="rect">
          <a:avLst/>
        </a:prstGeom>
        <a:noFill/>
        <a:ln w="9525">
          <a:noFill/>
          <a:miter lim="800000"/>
          <a:headEnd/>
          <a:tailEnd/>
        </a:ln>
      </xdr:spPr>
    </xdr:sp>
    <xdr:clientData/>
  </xdr:oneCellAnchor>
  <xdr:oneCellAnchor>
    <xdr:from>
      <xdr:col>3</xdr:col>
      <xdr:colOff>963324</xdr:colOff>
      <xdr:row>19</xdr:row>
      <xdr:rowOff>0</xdr:rowOff>
    </xdr:from>
    <xdr:ext cx="295275" cy="169011"/>
    <xdr:sp macro="" textlink="">
      <xdr:nvSpPr>
        <xdr:cNvPr id="4284" name="AutoShape 1" descr="http://myacademy/eltcms/pix/i/course.gif"/>
        <xdr:cNvSpPr>
          <a:spLocks noChangeAspect="1" noChangeArrowheads="1"/>
        </xdr:cNvSpPr>
      </xdr:nvSpPr>
      <xdr:spPr bwMode="auto">
        <a:xfrm>
          <a:off x="8507557" y="2651847"/>
          <a:ext cx="295275" cy="169011"/>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85"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86"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87"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88"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89"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90"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91"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92"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93"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94"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95"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96"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297"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298" name="AutoShape 11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299" name="AutoShape 40"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00" name="AutoShape 9"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01"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02" name="AutoShape 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03"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04"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05" name="AutoShape 11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06" name="AutoShape 40"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07" name="AutoShape 9"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08"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09" name="AutoShape 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10"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22802"/>
    <xdr:sp macro="" textlink="">
      <xdr:nvSpPr>
        <xdr:cNvPr id="4311"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12"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13"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14"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15"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16"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17"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18"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19"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20"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21"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22"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23"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24"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27</xdr:row>
      <xdr:rowOff>0</xdr:rowOff>
    </xdr:from>
    <xdr:ext cx="295275" cy="219075"/>
    <xdr:sp macro="" textlink="">
      <xdr:nvSpPr>
        <xdr:cNvPr id="4325"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963324</xdr:colOff>
      <xdr:row>1</xdr:row>
      <xdr:rowOff>129887</xdr:rowOff>
    </xdr:from>
    <xdr:ext cx="295275" cy="169011"/>
    <xdr:sp macro="" textlink="">
      <xdr:nvSpPr>
        <xdr:cNvPr id="4326" name="AutoShape 1" descr="http://myacademy/eltcms/pix/i/course.gif"/>
        <xdr:cNvSpPr>
          <a:spLocks noChangeAspect="1" noChangeArrowheads="1"/>
        </xdr:cNvSpPr>
      </xdr:nvSpPr>
      <xdr:spPr bwMode="auto">
        <a:xfrm>
          <a:off x="8507557" y="1612756"/>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4327" name="AutoShape 1" descr="http://myacademy/eltcms/pix/i/course.gif"/>
        <xdr:cNvSpPr>
          <a:spLocks noChangeAspect="1" noChangeArrowheads="1"/>
        </xdr:cNvSpPr>
      </xdr:nvSpPr>
      <xdr:spPr bwMode="auto">
        <a:xfrm>
          <a:off x="8507557" y="1612756"/>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4328" name="AutoShape 1" descr="http://myacademy/eltcms/pix/i/course.gif"/>
        <xdr:cNvSpPr>
          <a:spLocks noChangeAspect="1" noChangeArrowheads="1"/>
        </xdr:cNvSpPr>
      </xdr:nvSpPr>
      <xdr:spPr bwMode="auto">
        <a:xfrm>
          <a:off x="8507557" y="1612756"/>
          <a:ext cx="295275" cy="169011"/>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29"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30"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31"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32"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33"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34" name="AutoShape 11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35" name="AutoShape 40"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36"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37"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38"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39"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40"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41" name="AutoShape 11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42" name="AutoShape 40"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43" name="AutoShape 9"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44"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45" name="AutoShape 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46"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47"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48" name="AutoShape 11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49" name="AutoShape 40"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50" name="AutoShape 9"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51"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52" name="AutoShape 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53"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54"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55" name="AutoShape 11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56" name="AutoShape 40"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57"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58"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59"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60"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61"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62" name="AutoShape 11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63" name="AutoShape 40"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64"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65"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66"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67"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68" name="AutoShape 11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69" name="AutoShape 40"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70"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71"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72"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73"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74"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75" name="AutoShape 11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76" name="AutoShape 40"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77"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78"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79"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80"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81"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82" name="AutoShape 11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83" name="AutoShape 40"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84" name="AutoShape 9"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85"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86" name="AutoShape 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87"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88"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89" name="AutoShape 11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90" name="AutoShape 40"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91" name="AutoShape 9"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92"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93" name="AutoShape 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94"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395"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96" name="AutoShape 11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97" name="AutoShape 40"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98"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399"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00"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01"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02"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03" name="AutoShape 11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04" name="AutoShape 40"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05"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06"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07"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08" name="AutoShape 40"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09"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10"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11"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12"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13"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14" name="AutoShape 11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15" name="AutoShape 40"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16"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17"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18"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19"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20"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21" name="AutoShape 11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22" name="AutoShape 40"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23" name="AutoShape 9"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24"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25" name="AutoShape 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26"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27"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28" name="AutoShape 11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29" name="AutoShape 40"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30" name="AutoShape 9"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31"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32" name="AutoShape 4"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33"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434" name="AutoShape 1" descr="http://myacademy/eltcms/pix/i/course.gif"/>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35" name="AutoShape 11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36" name="AutoShape 40"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37"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38"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39"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40"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41"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42" name="AutoShape 11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43" name="AutoShape 40"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44" name="AutoShape 9"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45"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46" name="AutoShape 4"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47"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448" name="AutoShape 1" descr="http://myacademy/eltcms/pix/i/course.gif"/>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963324</xdr:colOff>
      <xdr:row>2</xdr:row>
      <xdr:rowOff>129887</xdr:rowOff>
    </xdr:from>
    <xdr:ext cx="295275" cy="169011"/>
    <xdr:sp macro="" textlink="">
      <xdr:nvSpPr>
        <xdr:cNvPr id="4449"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2</xdr:row>
      <xdr:rowOff>129887</xdr:rowOff>
    </xdr:from>
    <xdr:ext cx="295275" cy="169011"/>
    <xdr:sp macro="" textlink="">
      <xdr:nvSpPr>
        <xdr:cNvPr id="4450"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4451"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4452"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4453"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4454"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4455"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4456"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4457"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4458"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4459"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4460"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4461"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4462"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4463"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4464"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4465"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4466"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4467"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4468"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4469"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4470"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4471"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4472"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4473"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4474"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4475"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4476"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12</xdr:row>
      <xdr:rowOff>129887</xdr:rowOff>
    </xdr:from>
    <xdr:ext cx="295275" cy="169011"/>
    <xdr:sp macro="" textlink="">
      <xdr:nvSpPr>
        <xdr:cNvPr id="4477"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12</xdr:row>
      <xdr:rowOff>129887</xdr:rowOff>
    </xdr:from>
    <xdr:ext cx="295275" cy="169011"/>
    <xdr:sp macro="" textlink="">
      <xdr:nvSpPr>
        <xdr:cNvPr id="4478"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12</xdr:row>
      <xdr:rowOff>129887</xdr:rowOff>
    </xdr:from>
    <xdr:ext cx="295275" cy="169011"/>
    <xdr:sp macro="" textlink="">
      <xdr:nvSpPr>
        <xdr:cNvPr id="4479"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4480"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4481"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4482"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4483"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4484"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4485"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4486"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4487"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4488"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txBody>
        <a:bodyPr/>
        <a:lstStyle/>
        <a:p>
          <a:r>
            <a:rPr lang="en-US"/>
            <a:t>C</a:t>
          </a:r>
        </a:p>
      </xdr:txBody>
    </xdr:sp>
    <xdr:clientData/>
  </xdr:oneCellAnchor>
  <xdr:oneCellAnchor>
    <xdr:from>
      <xdr:col>3</xdr:col>
      <xdr:colOff>963324</xdr:colOff>
      <xdr:row>15</xdr:row>
      <xdr:rowOff>129887</xdr:rowOff>
    </xdr:from>
    <xdr:ext cx="295275" cy="169011"/>
    <xdr:sp macro="" textlink="">
      <xdr:nvSpPr>
        <xdr:cNvPr id="4489"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15</xdr:row>
      <xdr:rowOff>129887</xdr:rowOff>
    </xdr:from>
    <xdr:ext cx="295275" cy="169011"/>
    <xdr:sp macro="" textlink="">
      <xdr:nvSpPr>
        <xdr:cNvPr id="4490"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4492"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4493"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4494"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18</xdr:row>
      <xdr:rowOff>129887</xdr:rowOff>
    </xdr:from>
    <xdr:ext cx="295275" cy="169011"/>
    <xdr:sp macro="" textlink="">
      <xdr:nvSpPr>
        <xdr:cNvPr id="4495"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18</xdr:row>
      <xdr:rowOff>129887</xdr:rowOff>
    </xdr:from>
    <xdr:ext cx="295275" cy="169011"/>
    <xdr:sp macro="" textlink="">
      <xdr:nvSpPr>
        <xdr:cNvPr id="4496"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18</xdr:row>
      <xdr:rowOff>129887</xdr:rowOff>
    </xdr:from>
    <xdr:ext cx="295275" cy="169011"/>
    <xdr:sp macro="" textlink="">
      <xdr:nvSpPr>
        <xdr:cNvPr id="4497"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4498"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4499"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4500"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4501"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4502"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4503"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4504"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4505"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4506"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4507"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4508"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4509"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4510"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4511"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4512"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4516"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4517"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4518"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27</xdr:row>
      <xdr:rowOff>0</xdr:rowOff>
    </xdr:from>
    <xdr:ext cx="295275" cy="169011"/>
    <xdr:sp macro="" textlink="">
      <xdr:nvSpPr>
        <xdr:cNvPr id="4519"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27</xdr:row>
      <xdr:rowOff>0</xdr:rowOff>
    </xdr:from>
    <xdr:ext cx="295275" cy="169011"/>
    <xdr:sp macro="" textlink="">
      <xdr:nvSpPr>
        <xdr:cNvPr id="4520"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27</xdr:row>
      <xdr:rowOff>0</xdr:rowOff>
    </xdr:from>
    <xdr:ext cx="295275" cy="169011"/>
    <xdr:sp macro="" textlink="">
      <xdr:nvSpPr>
        <xdr:cNvPr id="4521"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27</xdr:row>
      <xdr:rowOff>129887</xdr:rowOff>
    </xdr:from>
    <xdr:ext cx="295275" cy="169011"/>
    <xdr:sp macro="" textlink="">
      <xdr:nvSpPr>
        <xdr:cNvPr id="4522"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27</xdr:row>
      <xdr:rowOff>129887</xdr:rowOff>
    </xdr:from>
    <xdr:ext cx="295275" cy="169011"/>
    <xdr:sp macro="" textlink="">
      <xdr:nvSpPr>
        <xdr:cNvPr id="4523"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27</xdr:row>
      <xdr:rowOff>129887</xdr:rowOff>
    </xdr:from>
    <xdr:ext cx="295275" cy="169011"/>
    <xdr:sp macro="" textlink="">
      <xdr:nvSpPr>
        <xdr:cNvPr id="4524"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34</xdr:row>
      <xdr:rowOff>129887</xdr:rowOff>
    </xdr:from>
    <xdr:ext cx="295275" cy="169011"/>
    <xdr:sp macro="" textlink="">
      <xdr:nvSpPr>
        <xdr:cNvPr id="4525"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34</xdr:row>
      <xdr:rowOff>129887</xdr:rowOff>
    </xdr:from>
    <xdr:ext cx="295275" cy="169011"/>
    <xdr:sp macro="" textlink="">
      <xdr:nvSpPr>
        <xdr:cNvPr id="4526"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34</xdr:row>
      <xdr:rowOff>129887</xdr:rowOff>
    </xdr:from>
    <xdr:ext cx="295275" cy="169011"/>
    <xdr:sp macro="" textlink="">
      <xdr:nvSpPr>
        <xdr:cNvPr id="4527"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4528"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4529"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4530"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4531"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4532"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4533"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4534"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4535"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4536"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63</xdr:row>
      <xdr:rowOff>129887</xdr:rowOff>
    </xdr:from>
    <xdr:ext cx="295275" cy="169011"/>
    <xdr:sp macro="" textlink="">
      <xdr:nvSpPr>
        <xdr:cNvPr id="4537"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63</xdr:row>
      <xdr:rowOff>129887</xdr:rowOff>
    </xdr:from>
    <xdr:ext cx="295275" cy="169011"/>
    <xdr:sp macro="" textlink="">
      <xdr:nvSpPr>
        <xdr:cNvPr id="4538"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63</xdr:row>
      <xdr:rowOff>129887</xdr:rowOff>
    </xdr:from>
    <xdr:ext cx="295275" cy="169011"/>
    <xdr:sp macro="" textlink="">
      <xdr:nvSpPr>
        <xdr:cNvPr id="4539" name="AutoShape 1" descr="http://myacademy/eltcms/pix/i/course.gif"/>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3</xdr:col>
      <xdr:colOff>963324</xdr:colOff>
      <xdr:row>82</xdr:row>
      <xdr:rowOff>0</xdr:rowOff>
    </xdr:from>
    <xdr:ext cx="295275" cy="169011"/>
    <xdr:sp macro="" textlink="">
      <xdr:nvSpPr>
        <xdr:cNvPr id="4540"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963324</xdr:colOff>
      <xdr:row>82</xdr:row>
      <xdr:rowOff>0</xdr:rowOff>
    </xdr:from>
    <xdr:ext cx="295275" cy="169011"/>
    <xdr:sp macro="" textlink="">
      <xdr:nvSpPr>
        <xdr:cNvPr id="4541" name="AutoShape 1" descr="http://myacademy/eltcms/pix/i/course.gif"/>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42"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43"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44"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45"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46"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47" name="AutoShape 10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48" name="AutoShape 40"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49" name="AutoShape 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50"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51" name="AutoShape 4"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52"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53"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54"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55"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56"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57"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58"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59"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60"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61"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62" name="AutoShape 10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63" name="AutoShape 40"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64" name="AutoShape 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65"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66" name="AutoShape 4"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67"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68"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569"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70"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71"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72"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73"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74"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75"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576"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77"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78"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79"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8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81"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82"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83"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84"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85"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86"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87"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88"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89"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90"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91"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92"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93"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94"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95"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96"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97"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98"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599"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0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01"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02"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03"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04" name="AutoShape 10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05" name="AutoShape 40"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06" name="AutoShape 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07"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08" name="AutoShape 4"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09"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10"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11"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12"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13"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14"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15"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16"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17"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18"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19" name="AutoShape 10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20" name="AutoShape 40"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21" name="AutoShape 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22"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23" name="AutoShape 4"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24"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25"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626"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27"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28"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29"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30"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31"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32"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33"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34"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35"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36"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37"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38"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39"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4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41"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42"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43"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44"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45"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46"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47"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48"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49"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5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51"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52"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53"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54"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55"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56"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57"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58"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59"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6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61"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62"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63"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64"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65"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66"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67"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68"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69"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70"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71"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72"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73"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674"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75"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76"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77"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78"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79"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8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81"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82"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83"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84"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85"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86"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87"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88"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89"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90"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91"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92"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93"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94"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95"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96"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97"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98"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699"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0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01"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02"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03"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04"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05"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06"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07"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08"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09"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10"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11"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12"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13"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14"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15"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16"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17"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18"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19"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20"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21"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22"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23"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24"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25"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26"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27"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28"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29"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3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31"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32"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33"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34"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35"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36"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37"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38"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39"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4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41"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42"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43"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44"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45"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46"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47"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48"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49"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50"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51"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52"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53"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54"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55"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56"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57"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58"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59"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6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61"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62"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63"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64"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65"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66"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67"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68"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69"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70"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71"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72"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73"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74"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75"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76"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77"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78"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79"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8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81"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82"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83"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84"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85"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86"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87"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88"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89"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90"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91"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92"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93"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94"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795"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96"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97"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98"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799"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00"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01"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02"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03"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04"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05"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06"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07"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08"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09"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10"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11"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12"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13"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14"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15"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16"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17"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18"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19"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20"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21"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22"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23"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24"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25"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26"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27"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28"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29"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30"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31"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32"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33"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34"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35"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36"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37"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38"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39"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4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41"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42"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43"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44"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45"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46"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47"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48"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49"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5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51"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52"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53"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54"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55"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56"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57"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58"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59"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60"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61"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62"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63"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64"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65"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66"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67"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68"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69"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70"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71"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72"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73"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74"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75"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76"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77"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78"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79"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80"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81"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82"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83"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84"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85"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86"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87"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88"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89"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90"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91"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92"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93"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94"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95"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96"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97"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898"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899"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00"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01"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02"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03"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04"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05"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06" name="AutoShape 11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07" name="AutoShape 40"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08" name="AutoShape 9"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09"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10" name="AutoShape 4"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11"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4912" name="AutoShape 1" descr="http://myacademy/eltcms/pix/i/course.gif"/>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13"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14"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15"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16"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17"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18"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19"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20" name="AutoShape 11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21" name="AutoShape 40"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22" name="AutoShape 9"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23" name="AutoShape 1"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4924" name="AutoShape 4" descr="http://myacademy/eltcms/pix/i/course.gif"/>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25" name="AutoShape 10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26" name="AutoShape 40"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27" name="AutoShape 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28"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29" name="AutoShape 4"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30"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31"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32"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33" name="AutoShape 10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34" name="AutoShape 40"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35" name="AutoShape 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36"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37" name="AutoShape 4"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38"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39"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40"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41" name="AutoShape 10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42" name="AutoShape 40"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43" name="AutoShape 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44"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45" name="AutoShape 4"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46"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47"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48"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49" name="AutoShape 10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50" name="AutoShape 40"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51" name="AutoShape 9"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52"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53" name="AutoShape 4"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54"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55"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4956" name="AutoShape 1" descr="http://myacademy/eltcms/pix/i/course.gif"/>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2</xdr:col>
      <xdr:colOff>2922010</xdr:colOff>
      <xdr:row>5</xdr:row>
      <xdr:rowOff>184005</xdr:rowOff>
    </xdr:from>
    <xdr:ext cx="295275" cy="28575"/>
    <xdr:sp macro="" textlink="">
      <xdr:nvSpPr>
        <xdr:cNvPr id="4957" name="AutoShape 40" descr="http://myacademy/eltcms/pix/i/course.gif"/>
        <xdr:cNvSpPr>
          <a:spLocks noChangeAspect="1" noChangeArrowheads="1"/>
        </xdr:cNvSpPr>
      </xdr:nvSpPr>
      <xdr:spPr bwMode="auto">
        <a:xfrm>
          <a:off x="6883544" y="1472045"/>
          <a:ext cx="295275" cy="285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58" name="AutoShape 40"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59" name="AutoShape 9"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60"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61" name="AutoShape 4"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62"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63"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64" name="AutoShape 114"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65" name="AutoShape 40"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66" name="AutoShape 9"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67"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68" name="AutoShape 4"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69"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70"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71" name="AutoShape 114"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72" name="AutoShape 40"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73" name="AutoShape 9"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74" name="AutoShape 1"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75" name="AutoShape 4"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76" name="AutoShape 1"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77" name="AutoShape 1"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78" name="AutoShape 114"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79" name="AutoShape 40"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80" name="AutoShape 9"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81" name="AutoShape 1"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82" name="AutoShape 4"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83" name="AutoShape 1"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4984" name="AutoShape 1" descr="http://myacademy/eltcms/pix/i/course.gif"/>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85" name="AutoShape 114"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86" name="AutoShape 40"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87" name="AutoShape 9"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88"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89" name="AutoShape 4"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90"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91"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92" name="AutoShape 114"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93" name="AutoShape 40"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94" name="AutoShape 9"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95"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96" name="AutoShape 4"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97"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4998" name="AutoShape 1" descr="http://myacademy/eltcms/pix/i/course.gif"/>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999"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00"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01"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02"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03"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04"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05"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06"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07"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08"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09"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10"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11"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12" name="AutoShape 11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13" name="AutoShape 40"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14" name="AutoShape 9"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15"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16" name="AutoShape 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17"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18"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19" name="AutoShape 11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20" name="AutoShape 40"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21" name="AutoShape 9"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22"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23" name="AutoShape 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24"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25"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26"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27"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28"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29"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30"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31"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32"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33"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34"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35"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36"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37"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38"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39"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2922010</xdr:colOff>
      <xdr:row>21</xdr:row>
      <xdr:rowOff>0</xdr:rowOff>
    </xdr:from>
    <xdr:ext cx="295275" cy="28575"/>
    <xdr:sp macro="" textlink="">
      <xdr:nvSpPr>
        <xdr:cNvPr id="5040" name="AutoShape 40" descr="http://myacademy/eltcms/pix/i/course.gif"/>
        <xdr:cNvSpPr>
          <a:spLocks noChangeAspect="1" noChangeArrowheads="1"/>
        </xdr:cNvSpPr>
      </xdr:nvSpPr>
      <xdr:spPr bwMode="auto">
        <a:xfrm>
          <a:off x="6883544" y="4405313"/>
          <a:ext cx="295275" cy="285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41"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42"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43"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44"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45"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46"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47"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48"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49"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50"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51"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52"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53" name="AutoShape 11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54" name="AutoShape 40"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55" name="AutoShape 9"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56"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57" name="AutoShape 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58"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59"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60" name="AutoShape 11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61" name="AutoShape 40"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62" name="AutoShape 9"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63"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64" name="AutoShape 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65"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66"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67"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68"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69"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70"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71"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72"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73"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74"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75"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76"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77"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78"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79"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80"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81"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82"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83"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84"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85"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86"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87"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88"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89"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90"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91"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92"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093"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94" name="AutoShape 11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95" name="AutoShape 40"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96" name="AutoShape 9"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97"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98" name="AutoShape 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099"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00"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01" name="AutoShape 11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02" name="AutoShape 40"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03" name="AutoShape 9"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04"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05" name="AutoShape 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06"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07"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08"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09"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10"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11"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12"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13"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14"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15"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16"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17"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18"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19"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2922010</xdr:colOff>
      <xdr:row>21</xdr:row>
      <xdr:rowOff>0</xdr:rowOff>
    </xdr:from>
    <xdr:ext cx="295275" cy="28575"/>
    <xdr:sp macro="" textlink="">
      <xdr:nvSpPr>
        <xdr:cNvPr id="5120" name="AutoShape 40" descr="http://myacademy/eltcms/pix/i/course.gif"/>
        <xdr:cNvSpPr>
          <a:spLocks noChangeAspect="1" noChangeArrowheads="1"/>
        </xdr:cNvSpPr>
      </xdr:nvSpPr>
      <xdr:spPr bwMode="auto">
        <a:xfrm>
          <a:off x="6883544" y="4405313"/>
          <a:ext cx="295275" cy="285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21"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22"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23"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24"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25"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26"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27"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28"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29"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30"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31"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32"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33"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34" name="AutoShape 11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35" name="AutoShape 40"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36" name="AutoShape 9"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37"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38" name="AutoShape 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39"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40"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41" name="AutoShape 11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42" name="AutoShape 40"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43" name="AutoShape 9"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44"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45" name="AutoShape 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46"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47"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48"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49"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50"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51"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52"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53"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54"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55"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56"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57"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58"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59"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60"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61"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62"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63"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64"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65"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66"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67"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68"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69"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70"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71"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72"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73"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74"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75" name="AutoShape 11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76" name="AutoShape 40"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77" name="AutoShape 9"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78"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79" name="AutoShape 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80"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81"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82" name="AutoShape 11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83" name="AutoShape 40"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84" name="AutoShape 9"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85"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86" name="AutoShape 4"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87"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5188" name="AutoShape 1" descr="http://myacademy/eltcms/pix/i/course.gif"/>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89"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90"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91"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92"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93"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94"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95"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96" name="AutoShape 11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97" name="AutoShape 40"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98" name="AutoShape 9"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199"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200" name="AutoShape 4"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201"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5202" name="AutoShape 1" descr="http://myacademy/eltcms/pix/i/course.gif"/>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03"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04"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05"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06"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07"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08"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09"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0"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1"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2"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3"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4"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5"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16" name="AutoShape 11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17" name="AutoShape 40"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18" name="AutoShape 9"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19"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20" name="AutoShape 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21"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22"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23" name="AutoShape 11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24" name="AutoShape 40"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25" name="AutoShape 9"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26"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27" name="AutoShape 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28"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29"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0"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1"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2"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3"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4"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5"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6"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7"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8"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9"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40"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41"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42"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43"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5244" name="AutoShape 40" descr="http://myacademy/eltcms/pix/i/course.gif"/>
        <xdr:cNvSpPr>
          <a:spLocks noChangeAspect="1" noChangeArrowheads="1"/>
        </xdr:cNvSpPr>
      </xdr:nvSpPr>
      <xdr:spPr bwMode="auto">
        <a:xfrm>
          <a:off x="6883544" y="5162983"/>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45"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46"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47"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48"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49"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0"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1"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2"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3"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4"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5"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6"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57" name="AutoShape 11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58" name="AutoShape 40"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59" name="AutoShape 9"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60"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61" name="AutoShape 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62"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63"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64" name="AutoShape 11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65" name="AutoShape 40"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66" name="AutoShape 9"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67"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68" name="AutoShape 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69"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70"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1"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2"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3"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4"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5"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6"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7"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8"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9"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80"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81"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82"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83"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84"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85"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86"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87"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88"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89"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0"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1"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2"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3"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4"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5"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6"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7"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98" name="AutoShape 11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99" name="AutoShape 40"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00" name="AutoShape 9"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01"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02" name="AutoShape 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03"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04"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05" name="AutoShape 11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06" name="AutoShape 40"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07" name="AutoShape 9"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08"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09" name="AutoShape 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10"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11"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2"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3"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4"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5"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6"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7"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8"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9"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20"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21"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22"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23"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5324" name="AutoShape 40" descr="http://myacademy/eltcms/pix/i/course.gif"/>
        <xdr:cNvSpPr>
          <a:spLocks noChangeAspect="1" noChangeArrowheads="1"/>
        </xdr:cNvSpPr>
      </xdr:nvSpPr>
      <xdr:spPr bwMode="auto">
        <a:xfrm>
          <a:off x="6883544" y="5162983"/>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25"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26"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27"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28"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29"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0"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1"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2"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3"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4"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5"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6"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7"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38" name="AutoShape 11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39" name="AutoShape 40"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40" name="AutoShape 9"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41"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42" name="AutoShape 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43"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44"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45" name="AutoShape 11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46" name="AutoShape 40"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47" name="AutoShape 9"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48"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49" name="AutoShape 4"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50"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51" name="AutoShape 1" descr="http://myacademy/eltcms/pix/i/course.gif"/>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52"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53"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54"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55"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56"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57"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58"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59" name="AutoShape 11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60" name="AutoShape 40"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61" name="AutoShape 9"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62"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63" name="AutoShape 4"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64"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65" name="AutoShape 1" descr="http://myacademy/eltcms/pix/i/course.gif"/>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5366"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5367"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5368"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63</xdr:row>
      <xdr:rowOff>129887</xdr:rowOff>
    </xdr:from>
    <xdr:ext cx="295275" cy="169011"/>
    <xdr:sp macro="" textlink="">
      <xdr:nvSpPr>
        <xdr:cNvPr id="536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63</xdr:row>
      <xdr:rowOff>129887</xdr:rowOff>
    </xdr:from>
    <xdr:ext cx="295275" cy="169011"/>
    <xdr:sp macro="" textlink="">
      <xdr:nvSpPr>
        <xdr:cNvPr id="537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63</xdr:row>
      <xdr:rowOff>129887</xdr:rowOff>
    </xdr:from>
    <xdr:ext cx="295275" cy="169011"/>
    <xdr:sp macro="" textlink="">
      <xdr:nvSpPr>
        <xdr:cNvPr id="537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63</xdr:row>
      <xdr:rowOff>129887</xdr:rowOff>
    </xdr:from>
    <xdr:ext cx="295275" cy="169011"/>
    <xdr:sp macro="" textlink="">
      <xdr:nvSpPr>
        <xdr:cNvPr id="5372"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63</xdr:row>
      <xdr:rowOff>129887</xdr:rowOff>
    </xdr:from>
    <xdr:ext cx="295275" cy="169011"/>
    <xdr:sp macro="" textlink="">
      <xdr:nvSpPr>
        <xdr:cNvPr id="5373"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63</xdr:row>
      <xdr:rowOff>129887</xdr:rowOff>
    </xdr:from>
    <xdr:ext cx="295275" cy="169011"/>
    <xdr:sp macro="" textlink="">
      <xdr:nvSpPr>
        <xdr:cNvPr id="5374"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64</xdr:row>
      <xdr:rowOff>129887</xdr:rowOff>
    </xdr:from>
    <xdr:ext cx="295275" cy="169011"/>
    <xdr:sp macro="" textlink="">
      <xdr:nvSpPr>
        <xdr:cNvPr id="537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64</xdr:row>
      <xdr:rowOff>129887</xdr:rowOff>
    </xdr:from>
    <xdr:ext cx="295275" cy="169011"/>
    <xdr:sp macro="" textlink="">
      <xdr:nvSpPr>
        <xdr:cNvPr id="537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64</xdr:row>
      <xdr:rowOff>129887</xdr:rowOff>
    </xdr:from>
    <xdr:ext cx="295275" cy="169011"/>
    <xdr:sp macro="" textlink="">
      <xdr:nvSpPr>
        <xdr:cNvPr id="537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64</xdr:row>
      <xdr:rowOff>129887</xdr:rowOff>
    </xdr:from>
    <xdr:ext cx="295275" cy="169011"/>
    <xdr:sp macro="" textlink="">
      <xdr:nvSpPr>
        <xdr:cNvPr id="537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64</xdr:row>
      <xdr:rowOff>129887</xdr:rowOff>
    </xdr:from>
    <xdr:ext cx="295275" cy="169011"/>
    <xdr:sp macro="" textlink="">
      <xdr:nvSpPr>
        <xdr:cNvPr id="537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64</xdr:row>
      <xdr:rowOff>129887</xdr:rowOff>
    </xdr:from>
    <xdr:ext cx="295275" cy="169011"/>
    <xdr:sp macro="" textlink="">
      <xdr:nvSpPr>
        <xdr:cNvPr id="538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64</xdr:row>
      <xdr:rowOff>129887</xdr:rowOff>
    </xdr:from>
    <xdr:ext cx="295275" cy="169011"/>
    <xdr:sp macro="" textlink="">
      <xdr:nvSpPr>
        <xdr:cNvPr id="5381"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64</xdr:row>
      <xdr:rowOff>129887</xdr:rowOff>
    </xdr:from>
    <xdr:ext cx="295275" cy="169011"/>
    <xdr:sp macro="" textlink="">
      <xdr:nvSpPr>
        <xdr:cNvPr id="5382"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64</xdr:row>
      <xdr:rowOff>129887</xdr:rowOff>
    </xdr:from>
    <xdr:ext cx="295275" cy="169011"/>
    <xdr:sp macro="" textlink="">
      <xdr:nvSpPr>
        <xdr:cNvPr id="5383"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65</xdr:row>
      <xdr:rowOff>129887</xdr:rowOff>
    </xdr:from>
    <xdr:ext cx="295275" cy="169011"/>
    <xdr:sp macro="" textlink="">
      <xdr:nvSpPr>
        <xdr:cNvPr id="538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65</xdr:row>
      <xdr:rowOff>129887</xdr:rowOff>
    </xdr:from>
    <xdr:ext cx="295275" cy="169011"/>
    <xdr:sp macro="" textlink="">
      <xdr:nvSpPr>
        <xdr:cNvPr id="538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65</xdr:row>
      <xdr:rowOff>129887</xdr:rowOff>
    </xdr:from>
    <xdr:ext cx="295275" cy="169011"/>
    <xdr:sp macro="" textlink="">
      <xdr:nvSpPr>
        <xdr:cNvPr id="538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65</xdr:row>
      <xdr:rowOff>129887</xdr:rowOff>
    </xdr:from>
    <xdr:ext cx="295275" cy="169011"/>
    <xdr:sp macro="" textlink="">
      <xdr:nvSpPr>
        <xdr:cNvPr id="538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65</xdr:row>
      <xdr:rowOff>129887</xdr:rowOff>
    </xdr:from>
    <xdr:ext cx="295275" cy="169011"/>
    <xdr:sp macro="" textlink="">
      <xdr:nvSpPr>
        <xdr:cNvPr id="538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65</xdr:row>
      <xdr:rowOff>129887</xdr:rowOff>
    </xdr:from>
    <xdr:ext cx="295275" cy="169011"/>
    <xdr:sp macro="" textlink="">
      <xdr:nvSpPr>
        <xdr:cNvPr id="538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65</xdr:row>
      <xdr:rowOff>129887</xdr:rowOff>
    </xdr:from>
    <xdr:ext cx="295275" cy="169011"/>
    <xdr:sp macro="" textlink="">
      <xdr:nvSpPr>
        <xdr:cNvPr id="5390"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65</xdr:row>
      <xdr:rowOff>129887</xdr:rowOff>
    </xdr:from>
    <xdr:ext cx="295275" cy="169011"/>
    <xdr:sp macro="" textlink="">
      <xdr:nvSpPr>
        <xdr:cNvPr id="5391"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65</xdr:row>
      <xdr:rowOff>129887</xdr:rowOff>
    </xdr:from>
    <xdr:ext cx="295275" cy="169011"/>
    <xdr:sp macro="" textlink="">
      <xdr:nvSpPr>
        <xdr:cNvPr id="5392"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66</xdr:row>
      <xdr:rowOff>129887</xdr:rowOff>
    </xdr:from>
    <xdr:ext cx="295275" cy="169011"/>
    <xdr:sp macro="" textlink="">
      <xdr:nvSpPr>
        <xdr:cNvPr id="539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66</xdr:row>
      <xdr:rowOff>129887</xdr:rowOff>
    </xdr:from>
    <xdr:ext cx="295275" cy="169011"/>
    <xdr:sp macro="" textlink="">
      <xdr:nvSpPr>
        <xdr:cNvPr id="539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66</xdr:row>
      <xdr:rowOff>129887</xdr:rowOff>
    </xdr:from>
    <xdr:ext cx="295275" cy="169011"/>
    <xdr:sp macro="" textlink="">
      <xdr:nvSpPr>
        <xdr:cNvPr id="539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66</xdr:row>
      <xdr:rowOff>129887</xdr:rowOff>
    </xdr:from>
    <xdr:ext cx="295275" cy="169011"/>
    <xdr:sp macro="" textlink="">
      <xdr:nvSpPr>
        <xdr:cNvPr id="539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66</xdr:row>
      <xdr:rowOff>129887</xdr:rowOff>
    </xdr:from>
    <xdr:ext cx="295275" cy="169011"/>
    <xdr:sp macro="" textlink="">
      <xdr:nvSpPr>
        <xdr:cNvPr id="539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66</xdr:row>
      <xdr:rowOff>129887</xdr:rowOff>
    </xdr:from>
    <xdr:ext cx="295275" cy="169011"/>
    <xdr:sp macro="" textlink="">
      <xdr:nvSpPr>
        <xdr:cNvPr id="539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66</xdr:row>
      <xdr:rowOff>129887</xdr:rowOff>
    </xdr:from>
    <xdr:ext cx="295275" cy="169011"/>
    <xdr:sp macro="" textlink="">
      <xdr:nvSpPr>
        <xdr:cNvPr id="5399"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66</xdr:row>
      <xdr:rowOff>129887</xdr:rowOff>
    </xdr:from>
    <xdr:ext cx="295275" cy="169011"/>
    <xdr:sp macro="" textlink="">
      <xdr:nvSpPr>
        <xdr:cNvPr id="5400"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66</xdr:row>
      <xdr:rowOff>129887</xdr:rowOff>
    </xdr:from>
    <xdr:ext cx="295275" cy="169011"/>
    <xdr:sp macro="" textlink="">
      <xdr:nvSpPr>
        <xdr:cNvPr id="5401"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67</xdr:row>
      <xdr:rowOff>129887</xdr:rowOff>
    </xdr:from>
    <xdr:ext cx="295275" cy="169011"/>
    <xdr:sp macro="" textlink="">
      <xdr:nvSpPr>
        <xdr:cNvPr id="540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67</xdr:row>
      <xdr:rowOff>129887</xdr:rowOff>
    </xdr:from>
    <xdr:ext cx="295275" cy="169011"/>
    <xdr:sp macro="" textlink="">
      <xdr:nvSpPr>
        <xdr:cNvPr id="540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67</xdr:row>
      <xdr:rowOff>129887</xdr:rowOff>
    </xdr:from>
    <xdr:ext cx="295275" cy="169011"/>
    <xdr:sp macro="" textlink="">
      <xdr:nvSpPr>
        <xdr:cNvPr id="540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67</xdr:row>
      <xdr:rowOff>129887</xdr:rowOff>
    </xdr:from>
    <xdr:ext cx="295275" cy="169011"/>
    <xdr:sp macro="" textlink="">
      <xdr:nvSpPr>
        <xdr:cNvPr id="540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67</xdr:row>
      <xdr:rowOff>129887</xdr:rowOff>
    </xdr:from>
    <xdr:ext cx="295275" cy="169011"/>
    <xdr:sp macro="" textlink="">
      <xdr:nvSpPr>
        <xdr:cNvPr id="540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67</xdr:row>
      <xdr:rowOff>129887</xdr:rowOff>
    </xdr:from>
    <xdr:ext cx="295275" cy="169011"/>
    <xdr:sp macro="" textlink="">
      <xdr:nvSpPr>
        <xdr:cNvPr id="540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67</xdr:row>
      <xdr:rowOff>129887</xdr:rowOff>
    </xdr:from>
    <xdr:ext cx="295275" cy="169011"/>
    <xdr:sp macro="" textlink="">
      <xdr:nvSpPr>
        <xdr:cNvPr id="5408"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67</xdr:row>
      <xdr:rowOff>129887</xdr:rowOff>
    </xdr:from>
    <xdr:ext cx="295275" cy="169011"/>
    <xdr:sp macro="" textlink="">
      <xdr:nvSpPr>
        <xdr:cNvPr id="5409"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67</xdr:row>
      <xdr:rowOff>129887</xdr:rowOff>
    </xdr:from>
    <xdr:ext cx="295275" cy="169011"/>
    <xdr:sp macro="" textlink="">
      <xdr:nvSpPr>
        <xdr:cNvPr id="5410"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541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541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541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541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541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541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5417"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5418"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5419"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542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542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542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542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542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542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5426"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5427"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5428"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69</xdr:row>
      <xdr:rowOff>129887</xdr:rowOff>
    </xdr:from>
    <xdr:ext cx="295275" cy="169011"/>
    <xdr:sp macro="" textlink="">
      <xdr:nvSpPr>
        <xdr:cNvPr id="542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129887</xdr:rowOff>
    </xdr:from>
    <xdr:ext cx="295275" cy="169011"/>
    <xdr:sp macro="" textlink="">
      <xdr:nvSpPr>
        <xdr:cNvPr id="543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129887</xdr:rowOff>
    </xdr:from>
    <xdr:ext cx="295275" cy="169011"/>
    <xdr:sp macro="" textlink="">
      <xdr:nvSpPr>
        <xdr:cNvPr id="543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129887</xdr:rowOff>
    </xdr:from>
    <xdr:ext cx="295275" cy="169011"/>
    <xdr:sp macro="" textlink="">
      <xdr:nvSpPr>
        <xdr:cNvPr id="543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129887</xdr:rowOff>
    </xdr:from>
    <xdr:ext cx="295275" cy="169011"/>
    <xdr:sp macro="" textlink="">
      <xdr:nvSpPr>
        <xdr:cNvPr id="543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129887</xdr:rowOff>
    </xdr:from>
    <xdr:ext cx="295275" cy="169011"/>
    <xdr:sp macro="" textlink="">
      <xdr:nvSpPr>
        <xdr:cNvPr id="543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69</xdr:row>
      <xdr:rowOff>129887</xdr:rowOff>
    </xdr:from>
    <xdr:ext cx="295275" cy="169011"/>
    <xdr:sp macro="" textlink="">
      <xdr:nvSpPr>
        <xdr:cNvPr id="5435"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69</xdr:row>
      <xdr:rowOff>129887</xdr:rowOff>
    </xdr:from>
    <xdr:ext cx="295275" cy="169011"/>
    <xdr:sp macro="" textlink="">
      <xdr:nvSpPr>
        <xdr:cNvPr id="5436"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69</xdr:row>
      <xdr:rowOff>129887</xdr:rowOff>
    </xdr:from>
    <xdr:ext cx="295275" cy="169011"/>
    <xdr:sp macro="" textlink="">
      <xdr:nvSpPr>
        <xdr:cNvPr id="5437"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70</xdr:row>
      <xdr:rowOff>129887</xdr:rowOff>
    </xdr:from>
    <xdr:ext cx="295275" cy="169011"/>
    <xdr:sp macro="" textlink="">
      <xdr:nvSpPr>
        <xdr:cNvPr id="543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70</xdr:row>
      <xdr:rowOff>129887</xdr:rowOff>
    </xdr:from>
    <xdr:ext cx="295275" cy="169011"/>
    <xdr:sp macro="" textlink="">
      <xdr:nvSpPr>
        <xdr:cNvPr id="543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70</xdr:row>
      <xdr:rowOff>129887</xdr:rowOff>
    </xdr:from>
    <xdr:ext cx="295275" cy="169011"/>
    <xdr:sp macro="" textlink="">
      <xdr:nvSpPr>
        <xdr:cNvPr id="544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70</xdr:row>
      <xdr:rowOff>129887</xdr:rowOff>
    </xdr:from>
    <xdr:ext cx="295275" cy="169011"/>
    <xdr:sp macro="" textlink="">
      <xdr:nvSpPr>
        <xdr:cNvPr id="544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70</xdr:row>
      <xdr:rowOff>129887</xdr:rowOff>
    </xdr:from>
    <xdr:ext cx="295275" cy="169011"/>
    <xdr:sp macro="" textlink="">
      <xdr:nvSpPr>
        <xdr:cNvPr id="544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70</xdr:row>
      <xdr:rowOff>129887</xdr:rowOff>
    </xdr:from>
    <xdr:ext cx="295275" cy="169011"/>
    <xdr:sp macro="" textlink="">
      <xdr:nvSpPr>
        <xdr:cNvPr id="544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70</xdr:row>
      <xdr:rowOff>129887</xdr:rowOff>
    </xdr:from>
    <xdr:ext cx="295275" cy="169011"/>
    <xdr:sp macro="" textlink="">
      <xdr:nvSpPr>
        <xdr:cNvPr id="5444"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70</xdr:row>
      <xdr:rowOff>129887</xdr:rowOff>
    </xdr:from>
    <xdr:ext cx="295275" cy="169011"/>
    <xdr:sp macro="" textlink="">
      <xdr:nvSpPr>
        <xdr:cNvPr id="5445"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70</xdr:row>
      <xdr:rowOff>129887</xdr:rowOff>
    </xdr:from>
    <xdr:ext cx="295275" cy="169011"/>
    <xdr:sp macro="" textlink="">
      <xdr:nvSpPr>
        <xdr:cNvPr id="5446"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71</xdr:row>
      <xdr:rowOff>129887</xdr:rowOff>
    </xdr:from>
    <xdr:ext cx="295275" cy="169011"/>
    <xdr:sp macro="" textlink="">
      <xdr:nvSpPr>
        <xdr:cNvPr id="544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71</xdr:row>
      <xdr:rowOff>129887</xdr:rowOff>
    </xdr:from>
    <xdr:ext cx="295275" cy="169011"/>
    <xdr:sp macro="" textlink="">
      <xdr:nvSpPr>
        <xdr:cNvPr id="544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71</xdr:row>
      <xdr:rowOff>129887</xdr:rowOff>
    </xdr:from>
    <xdr:ext cx="295275" cy="169011"/>
    <xdr:sp macro="" textlink="">
      <xdr:nvSpPr>
        <xdr:cNvPr id="544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71</xdr:row>
      <xdr:rowOff>129887</xdr:rowOff>
    </xdr:from>
    <xdr:ext cx="295275" cy="169011"/>
    <xdr:sp macro="" textlink="">
      <xdr:nvSpPr>
        <xdr:cNvPr id="545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71</xdr:row>
      <xdr:rowOff>129887</xdr:rowOff>
    </xdr:from>
    <xdr:ext cx="295275" cy="169011"/>
    <xdr:sp macro="" textlink="">
      <xdr:nvSpPr>
        <xdr:cNvPr id="545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71</xdr:row>
      <xdr:rowOff>129887</xdr:rowOff>
    </xdr:from>
    <xdr:ext cx="295275" cy="169011"/>
    <xdr:sp macro="" textlink="">
      <xdr:nvSpPr>
        <xdr:cNvPr id="545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71</xdr:row>
      <xdr:rowOff>129887</xdr:rowOff>
    </xdr:from>
    <xdr:ext cx="295275" cy="169011"/>
    <xdr:sp macro="" textlink="">
      <xdr:nvSpPr>
        <xdr:cNvPr id="5453"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71</xdr:row>
      <xdr:rowOff>129887</xdr:rowOff>
    </xdr:from>
    <xdr:ext cx="295275" cy="169011"/>
    <xdr:sp macro="" textlink="">
      <xdr:nvSpPr>
        <xdr:cNvPr id="5454"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71</xdr:row>
      <xdr:rowOff>129887</xdr:rowOff>
    </xdr:from>
    <xdr:ext cx="295275" cy="169011"/>
    <xdr:sp macro="" textlink="">
      <xdr:nvSpPr>
        <xdr:cNvPr id="5455"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72</xdr:row>
      <xdr:rowOff>129887</xdr:rowOff>
    </xdr:from>
    <xdr:ext cx="295275" cy="169011"/>
    <xdr:sp macro="" textlink="">
      <xdr:nvSpPr>
        <xdr:cNvPr id="545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72</xdr:row>
      <xdr:rowOff>129887</xdr:rowOff>
    </xdr:from>
    <xdr:ext cx="295275" cy="169011"/>
    <xdr:sp macro="" textlink="">
      <xdr:nvSpPr>
        <xdr:cNvPr id="545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72</xdr:row>
      <xdr:rowOff>129887</xdr:rowOff>
    </xdr:from>
    <xdr:ext cx="295275" cy="169011"/>
    <xdr:sp macro="" textlink="">
      <xdr:nvSpPr>
        <xdr:cNvPr id="545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72</xdr:row>
      <xdr:rowOff>129887</xdr:rowOff>
    </xdr:from>
    <xdr:ext cx="295275" cy="169011"/>
    <xdr:sp macro="" textlink="">
      <xdr:nvSpPr>
        <xdr:cNvPr id="545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72</xdr:row>
      <xdr:rowOff>129887</xdr:rowOff>
    </xdr:from>
    <xdr:ext cx="295275" cy="169011"/>
    <xdr:sp macro="" textlink="">
      <xdr:nvSpPr>
        <xdr:cNvPr id="546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72</xdr:row>
      <xdr:rowOff>129887</xdr:rowOff>
    </xdr:from>
    <xdr:ext cx="295275" cy="169011"/>
    <xdr:sp macro="" textlink="">
      <xdr:nvSpPr>
        <xdr:cNvPr id="546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72</xdr:row>
      <xdr:rowOff>129887</xdr:rowOff>
    </xdr:from>
    <xdr:ext cx="295275" cy="169011"/>
    <xdr:sp macro="" textlink="">
      <xdr:nvSpPr>
        <xdr:cNvPr id="5462"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72</xdr:row>
      <xdr:rowOff>129887</xdr:rowOff>
    </xdr:from>
    <xdr:ext cx="295275" cy="169011"/>
    <xdr:sp macro="" textlink="">
      <xdr:nvSpPr>
        <xdr:cNvPr id="5463"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72</xdr:row>
      <xdr:rowOff>129887</xdr:rowOff>
    </xdr:from>
    <xdr:ext cx="295275" cy="169011"/>
    <xdr:sp macro="" textlink="">
      <xdr:nvSpPr>
        <xdr:cNvPr id="5464"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73</xdr:row>
      <xdr:rowOff>129887</xdr:rowOff>
    </xdr:from>
    <xdr:ext cx="295275" cy="169011"/>
    <xdr:sp macro="" textlink="">
      <xdr:nvSpPr>
        <xdr:cNvPr id="546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73</xdr:row>
      <xdr:rowOff>129887</xdr:rowOff>
    </xdr:from>
    <xdr:ext cx="295275" cy="169011"/>
    <xdr:sp macro="" textlink="">
      <xdr:nvSpPr>
        <xdr:cNvPr id="546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73</xdr:row>
      <xdr:rowOff>129887</xdr:rowOff>
    </xdr:from>
    <xdr:ext cx="295275" cy="169011"/>
    <xdr:sp macro="" textlink="">
      <xdr:nvSpPr>
        <xdr:cNvPr id="546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73</xdr:row>
      <xdr:rowOff>129887</xdr:rowOff>
    </xdr:from>
    <xdr:ext cx="295275" cy="169011"/>
    <xdr:sp macro="" textlink="">
      <xdr:nvSpPr>
        <xdr:cNvPr id="546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73</xdr:row>
      <xdr:rowOff>129887</xdr:rowOff>
    </xdr:from>
    <xdr:ext cx="295275" cy="169011"/>
    <xdr:sp macro="" textlink="">
      <xdr:nvSpPr>
        <xdr:cNvPr id="546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73</xdr:row>
      <xdr:rowOff>129887</xdr:rowOff>
    </xdr:from>
    <xdr:ext cx="295275" cy="169011"/>
    <xdr:sp macro="" textlink="">
      <xdr:nvSpPr>
        <xdr:cNvPr id="547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73</xdr:row>
      <xdr:rowOff>129887</xdr:rowOff>
    </xdr:from>
    <xdr:ext cx="295275" cy="169011"/>
    <xdr:sp macro="" textlink="">
      <xdr:nvSpPr>
        <xdr:cNvPr id="5471"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73</xdr:row>
      <xdr:rowOff>129887</xdr:rowOff>
    </xdr:from>
    <xdr:ext cx="295275" cy="169011"/>
    <xdr:sp macro="" textlink="">
      <xdr:nvSpPr>
        <xdr:cNvPr id="5472"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73</xdr:row>
      <xdr:rowOff>129887</xdr:rowOff>
    </xdr:from>
    <xdr:ext cx="295275" cy="169011"/>
    <xdr:sp macro="" textlink="">
      <xdr:nvSpPr>
        <xdr:cNvPr id="5473"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74</xdr:row>
      <xdr:rowOff>0</xdr:rowOff>
    </xdr:from>
    <xdr:ext cx="295275" cy="169011"/>
    <xdr:sp macro="" textlink="">
      <xdr:nvSpPr>
        <xdr:cNvPr id="547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0</xdr:rowOff>
    </xdr:from>
    <xdr:ext cx="295275" cy="169011"/>
    <xdr:sp macro="" textlink="">
      <xdr:nvSpPr>
        <xdr:cNvPr id="547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0</xdr:rowOff>
    </xdr:from>
    <xdr:ext cx="295275" cy="169011"/>
    <xdr:sp macro="" textlink="">
      <xdr:nvSpPr>
        <xdr:cNvPr id="547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0</xdr:rowOff>
    </xdr:from>
    <xdr:ext cx="295275" cy="169011"/>
    <xdr:sp macro="" textlink="">
      <xdr:nvSpPr>
        <xdr:cNvPr id="547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0</xdr:rowOff>
    </xdr:from>
    <xdr:ext cx="295275" cy="169011"/>
    <xdr:sp macro="" textlink="">
      <xdr:nvSpPr>
        <xdr:cNvPr id="547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0</xdr:rowOff>
    </xdr:from>
    <xdr:ext cx="295275" cy="169011"/>
    <xdr:sp macro="" textlink="">
      <xdr:nvSpPr>
        <xdr:cNvPr id="547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0</xdr:rowOff>
    </xdr:from>
    <xdr:ext cx="295275" cy="169011"/>
    <xdr:sp macro="" textlink="">
      <xdr:nvSpPr>
        <xdr:cNvPr id="5480"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74</xdr:row>
      <xdr:rowOff>0</xdr:rowOff>
    </xdr:from>
    <xdr:ext cx="295275" cy="169011"/>
    <xdr:sp macro="" textlink="">
      <xdr:nvSpPr>
        <xdr:cNvPr id="5481"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74</xdr:row>
      <xdr:rowOff>0</xdr:rowOff>
    </xdr:from>
    <xdr:ext cx="295275" cy="169011"/>
    <xdr:sp macro="" textlink="">
      <xdr:nvSpPr>
        <xdr:cNvPr id="5482"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74</xdr:row>
      <xdr:rowOff>129887</xdr:rowOff>
    </xdr:from>
    <xdr:ext cx="295275" cy="169011"/>
    <xdr:sp macro="" textlink="">
      <xdr:nvSpPr>
        <xdr:cNvPr id="548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129887</xdr:rowOff>
    </xdr:from>
    <xdr:ext cx="295275" cy="169011"/>
    <xdr:sp macro="" textlink="">
      <xdr:nvSpPr>
        <xdr:cNvPr id="548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129887</xdr:rowOff>
    </xdr:from>
    <xdr:ext cx="295275" cy="169011"/>
    <xdr:sp macro="" textlink="">
      <xdr:nvSpPr>
        <xdr:cNvPr id="548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129887</xdr:rowOff>
    </xdr:from>
    <xdr:ext cx="295275" cy="169011"/>
    <xdr:sp macro="" textlink="">
      <xdr:nvSpPr>
        <xdr:cNvPr id="548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129887</xdr:rowOff>
    </xdr:from>
    <xdr:ext cx="295275" cy="169011"/>
    <xdr:sp macro="" textlink="">
      <xdr:nvSpPr>
        <xdr:cNvPr id="548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129887</xdr:rowOff>
    </xdr:from>
    <xdr:ext cx="295275" cy="169011"/>
    <xdr:sp macro="" textlink="">
      <xdr:nvSpPr>
        <xdr:cNvPr id="548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74</xdr:row>
      <xdr:rowOff>129887</xdr:rowOff>
    </xdr:from>
    <xdr:ext cx="295275" cy="169011"/>
    <xdr:sp macro="" textlink="">
      <xdr:nvSpPr>
        <xdr:cNvPr id="5489"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74</xdr:row>
      <xdr:rowOff>129887</xdr:rowOff>
    </xdr:from>
    <xdr:ext cx="295275" cy="169011"/>
    <xdr:sp macro="" textlink="">
      <xdr:nvSpPr>
        <xdr:cNvPr id="5490"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74</xdr:row>
      <xdr:rowOff>129887</xdr:rowOff>
    </xdr:from>
    <xdr:ext cx="295275" cy="169011"/>
    <xdr:sp macro="" textlink="">
      <xdr:nvSpPr>
        <xdr:cNvPr id="5491"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75</xdr:row>
      <xdr:rowOff>129887</xdr:rowOff>
    </xdr:from>
    <xdr:ext cx="295275" cy="169011"/>
    <xdr:sp macro="" textlink="">
      <xdr:nvSpPr>
        <xdr:cNvPr id="549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75</xdr:row>
      <xdr:rowOff>129887</xdr:rowOff>
    </xdr:from>
    <xdr:ext cx="295275" cy="169011"/>
    <xdr:sp macro="" textlink="">
      <xdr:nvSpPr>
        <xdr:cNvPr id="549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75</xdr:row>
      <xdr:rowOff>129887</xdr:rowOff>
    </xdr:from>
    <xdr:ext cx="295275" cy="169011"/>
    <xdr:sp macro="" textlink="">
      <xdr:nvSpPr>
        <xdr:cNvPr id="549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75</xdr:row>
      <xdr:rowOff>129887</xdr:rowOff>
    </xdr:from>
    <xdr:ext cx="295275" cy="169011"/>
    <xdr:sp macro="" textlink="">
      <xdr:nvSpPr>
        <xdr:cNvPr id="549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75</xdr:row>
      <xdr:rowOff>129887</xdr:rowOff>
    </xdr:from>
    <xdr:ext cx="295275" cy="169011"/>
    <xdr:sp macro="" textlink="">
      <xdr:nvSpPr>
        <xdr:cNvPr id="549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75</xdr:row>
      <xdr:rowOff>129887</xdr:rowOff>
    </xdr:from>
    <xdr:ext cx="295275" cy="169011"/>
    <xdr:sp macro="" textlink="">
      <xdr:nvSpPr>
        <xdr:cNvPr id="549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75</xdr:row>
      <xdr:rowOff>129887</xdr:rowOff>
    </xdr:from>
    <xdr:ext cx="295275" cy="169011"/>
    <xdr:sp macro="" textlink="">
      <xdr:nvSpPr>
        <xdr:cNvPr id="5498"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75</xdr:row>
      <xdr:rowOff>129887</xdr:rowOff>
    </xdr:from>
    <xdr:ext cx="295275" cy="169011"/>
    <xdr:sp macro="" textlink="">
      <xdr:nvSpPr>
        <xdr:cNvPr id="5499"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75</xdr:row>
      <xdr:rowOff>129887</xdr:rowOff>
    </xdr:from>
    <xdr:ext cx="295275" cy="169011"/>
    <xdr:sp macro="" textlink="">
      <xdr:nvSpPr>
        <xdr:cNvPr id="5500"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76</xdr:row>
      <xdr:rowOff>129887</xdr:rowOff>
    </xdr:from>
    <xdr:ext cx="295275" cy="169011"/>
    <xdr:sp macro="" textlink="">
      <xdr:nvSpPr>
        <xdr:cNvPr id="550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76</xdr:row>
      <xdr:rowOff>129887</xdr:rowOff>
    </xdr:from>
    <xdr:ext cx="295275" cy="169011"/>
    <xdr:sp macro="" textlink="">
      <xdr:nvSpPr>
        <xdr:cNvPr id="550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76</xdr:row>
      <xdr:rowOff>129887</xdr:rowOff>
    </xdr:from>
    <xdr:ext cx="295275" cy="169011"/>
    <xdr:sp macro="" textlink="">
      <xdr:nvSpPr>
        <xdr:cNvPr id="550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76</xdr:row>
      <xdr:rowOff>129887</xdr:rowOff>
    </xdr:from>
    <xdr:ext cx="295275" cy="169011"/>
    <xdr:sp macro="" textlink="">
      <xdr:nvSpPr>
        <xdr:cNvPr id="550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76</xdr:row>
      <xdr:rowOff>129887</xdr:rowOff>
    </xdr:from>
    <xdr:ext cx="295275" cy="169011"/>
    <xdr:sp macro="" textlink="">
      <xdr:nvSpPr>
        <xdr:cNvPr id="550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76</xdr:row>
      <xdr:rowOff>129887</xdr:rowOff>
    </xdr:from>
    <xdr:ext cx="295275" cy="169011"/>
    <xdr:sp macro="" textlink="">
      <xdr:nvSpPr>
        <xdr:cNvPr id="550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76</xdr:row>
      <xdr:rowOff>129887</xdr:rowOff>
    </xdr:from>
    <xdr:ext cx="295275" cy="169011"/>
    <xdr:sp macro="" textlink="">
      <xdr:nvSpPr>
        <xdr:cNvPr id="5507"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76</xdr:row>
      <xdr:rowOff>129887</xdr:rowOff>
    </xdr:from>
    <xdr:ext cx="295275" cy="169011"/>
    <xdr:sp macro="" textlink="">
      <xdr:nvSpPr>
        <xdr:cNvPr id="5508"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76</xdr:row>
      <xdr:rowOff>129887</xdr:rowOff>
    </xdr:from>
    <xdr:ext cx="295275" cy="169011"/>
    <xdr:sp macro="" textlink="">
      <xdr:nvSpPr>
        <xdr:cNvPr id="5509"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77</xdr:row>
      <xdr:rowOff>129887</xdr:rowOff>
    </xdr:from>
    <xdr:ext cx="295275" cy="169011"/>
    <xdr:sp macro="" textlink="">
      <xdr:nvSpPr>
        <xdr:cNvPr id="551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77</xdr:row>
      <xdr:rowOff>129887</xdr:rowOff>
    </xdr:from>
    <xdr:ext cx="295275" cy="169011"/>
    <xdr:sp macro="" textlink="">
      <xdr:nvSpPr>
        <xdr:cNvPr id="551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77</xdr:row>
      <xdr:rowOff>129887</xdr:rowOff>
    </xdr:from>
    <xdr:ext cx="295275" cy="169011"/>
    <xdr:sp macro="" textlink="">
      <xdr:nvSpPr>
        <xdr:cNvPr id="551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77</xdr:row>
      <xdr:rowOff>129887</xdr:rowOff>
    </xdr:from>
    <xdr:ext cx="295275" cy="169011"/>
    <xdr:sp macro="" textlink="">
      <xdr:nvSpPr>
        <xdr:cNvPr id="551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77</xdr:row>
      <xdr:rowOff>129887</xdr:rowOff>
    </xdr:from>
    <xdr:ext cx="295275" cy="169011"/>
    <xdr:sp macro="" textlink="">
      <xdr:nvSpPr>
        <xdr:cNvPr id="551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77</xdr:row>
      <xdr:rowOff>129887</xdr:rowOff>
    </xdr:from>
    <xdr:ext cx="295275" cy="169011"/>
    <xdr:sp macro="" textlink="">
      <xdr:nvSpPr>
        <xdr:cNvPr id="551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77</xdr:row>
      <xdr:rowOff>129887</xdr:rowOff>
    </xdr:from>
    <xdr:ext cx="295275" cy="169011"/>
    <xdr:sp macro="" textlink="">
      <xdr:nvSpPr>
        <xdr:cNvPr id="5516"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77</xdr:row>
      <xdr:rowOff>129887</xdr:rowOff>
    </xdr:from>
    <xdr:ext cx="295275" cy="169011"/>
    <xdr:sp macro="" textlink="">
      <xdr:nvSpPr>
        <xdr:cNvPr id="5517"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77</xdr:row>
      <xdr:rowOff>129887</xdr:rowOff>
    </xdr:from>
    <xdr:ext cx="295275" cy="169011"/>
    <xdr:sp macro="" textlink="">
      <xdr:nvSpPr>
        <xdr:cNvPr id="5518"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1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2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2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2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2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2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25"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26"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27"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2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2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3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3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3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33"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34"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35"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78</xdr:row>
      <xdr:rowOff>0</xdr:rowOff>
    </xdr:from>
    <xdr:ext cx="295275" cy="169011"/>
    <xdr:sp macro="" textlink="">
      <xdr:nvSpPr>
        <xdr:cNvPr id="5536"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78</xdr:row>
      <xdr:rowOff>129887</xdr:rowOff>
    </xdr:from>
    <xdr:ext cx="295275" cy="169011"/>
    <xdr:sp macro="" textlink="">
      <xdr:nvSpPr>
        <xdr:cNvPr id="553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129887</xdr:rowOff>
    </xdr:from>
    <xdr:ext cx="295275" cy="169011"/>
    <xdr:sp macro="" textlink="">
      <xdr:nvSpPr>
        <xdr:cNvPr id="553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129887</xdr:rowOff>
    </xdr:from>
    <xdr:ext cx="295275" cy="169011"/>
    <xdr:sp macro="" textlink="">
      <xdr:nvSpPr>
        <xdr:cNvPr id="553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129887</xdr:rowOff>
    </xdr:from>
    <xdr:ext cx="295275" cy="169011"/>
    <xdr:sp macro="" textlink="">
      <xdr:nvSpPr>
        <xdr:cNvPr id="554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129887</xdr:rowOff>
    </xdr:from>
    <xdr:ext cx="295275" cy="169011"/>
    <xdr:sp macro="" textlink="">
      <xdr:nvSpPr>
        <xdr:cNvPr id="554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129887</xdr:rowOff>
    </xdr:from>
    <xdr:ext cx="295275" cy="169011"/>
    <xdr:sp macro="" textlink="">
      <xdr:nvSpPr>
        <xdr:cNvPr id="5542"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78</xdr:row>
      <xdr:rowOff>129887</xdr:rowOff>
    </xdr:from>
    <xdr:ext cx="295275" cy="169011"/>
    <xdr:sp macro="" textlink="">
      <xdr:nvSpPr>
        <xdr:cNvPr id="5543"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78</xdr:row>
      <xdr:rowOff>129887</xdr:rowOff>
    </xdr:from>
    <xdr:ext cx="295275" cy="169011"/>
    <xdr:sp macro="" textlink="">
      <xdr:nvSpPr>
        <xdr:cNvPr id="5544"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78</xdr:row>
      <xdr:rowOff>129887</xdr:rowOff>
    </xdr:from>
    <xdr:ext cx="295275" cy="169011"/>
    <xdr:sp macro="" textlink="">
      <xdr:nvSpPr>
        <xdr:cNvPr id="5545"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79</xdr:row>
      <xdr:rowOff>129887</xdr:rowOff>
    </xdr:from>
    <xdr:ext cx="295275" cy="169011"/>
    <xdr:sp macro="" textlink="">
      <xdr:nvSpPr>
        <xdr:cNvPr id="554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79</xdr:row>
      <xdr:rowOff>129887</xdr:rowOff>
    </xdr:from>
    <xdr:ext cx="295275" cy="169011"/>
    <xdr:sp macro="" textlink="">
      <xdr:nvSpPr>
        <xdr:cNvPr id="554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79</xdr:row>
      <xdr:rowOff>129887</xdr:rowOff>
    </xdr:from>
    <xdr:ext cx="295275" cy="169011"/>
    <xdr:sp macro="" textlink="">
      <xdr:nvSpPr>
        <xdr:cNvPr id="554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79</xdr:row>
      <xdr:rowOff>129887</xdr:rowOff>
    </xdr:from>
    <xdr:ext cx="295275" cy="169011"/>
    <xdr:sp macro="" textlink="">
      <xdr:nvSpPr>
        <xdr:cNvPr id="554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79</xdr:row>
      <xdr:rowOff>129887</xdr:rowOff>
    </xdr:from>
    <xdr:ext cx="295275" cy="169011"/>
    <xdr:sp macro="" textlink="">
      <xdr:nvSpPr>
        <xdr:cNvPr id="555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79</xdr:row>
      <xdr:rowOff>129887</xdr:rowOff>
    </xdr:from>
    <xdr:ext cx="295275" cy="169011"/>
    <xdr:sp macro="" textlink="">
      <xdr:nvSpPr>
        <xdr:cNvPr id="5551"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79</xdr:row>
      <xdr:rowOff>129887</xdr:rowOff>
    </xdr:from>
    <xdr:ext cx="295275" cy="169011"/>
    <xdr:sp macro="" textlink="">
      <xdr:nvSpPr>
        <xdr:cNvPr id="5552"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79</xdr:row>
      <xdr:rowOff>129887</xdr:rowOff>
    </xdr:from>
    <xdr:ext cx="295275" cy="169011"/>
    <xdr:sp macro="" textlink="">
      <xdr:nvSpPr>
        <xdr:cNvPr id="5553"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79</xdr:row>
      <xdr:rowOff>129887</xdr:rowOff>
    </xdr:from>
    <xdr:ext cx="295275" cy="169011"/>
    <xdr:sp macro="" textlink="">
      <xdr:nvSpPr>
        <xdr:cNvPr id="5554"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80</xdr:row>
      <xdr:rowOff>129887</xdr:rowOff>
    </xdr:from>
    <xdr:ext cx="295275" cy="169011"/>
    <xdr:sp macro="" textlink="">
      <xdr:nvSpPr>
        <xdr:cNvPr id="555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80</xdr:row>
      <xdr:rowOff>129887</xdr:rowOff>
    </xdr:from>
    <xdr:ext cx="295275" cy="169011"/>
    <xdr:sp macro="" textlink="">
      <xdr:nvSpPr>
        <xdr:cNvPr id="555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80</xdr:row>
      <xdr:rowOff>129887</xdr:rowOff>
    </xdr:from>
    <xdr:ext cx="295275" cy="169011"/>
    <xdr:sp macro="" textlink="">
      <xdr:nvSpPr>
        <xdr:cNvPr id="555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80</xdr:row>
      <xdr:rowOff>129887</xdr:rowOff>
    </xdr:from>
    <xdr:ext cx="295275" cy="169011"/>
    <xdr:sp macro="" textlink="">
      <xdr:nvSpPr>
        <xdr:cNvPr id="555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80</xdr:row>
      <xdr:rowOff>129887</xdr:rowOff>
    </xdr:from>
    <xdr:ext cx="295275" cy="169011"/>
    <xdr:sp macro="" textlink="">
      <xdr:nvSpPr>
        <xdr:cNvPr id="555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80</xdr:row>
      <xdr:rowOff>129887</xdr:rowOff>
    </xdr:from>
    <xdr:ext cx="295275" cy="169011"/>
    <xdr:sp macro="" textlink="">
      <xdr:nvSpPr>
        <xdr:cNvPr id="5560"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80</xdr:row>
      <xdr:rowOff>129887</xdr:rowOff>
    </xdr:from>
    <xdr:ext cx="295275" cy="169011"/>
    <xdr:sp macro="" textlink="">
      <xdr:nvSpPr>
        <xdr:cNvPr id="5561"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80</xdr:row>
      <xdr:rowOff>129887</xdr:rowOff>
    </xdr:from>
    <xdr:ext cx="295275" cy="169011"/>
    <xdr:sp macro="" textlink="">
      <xdr:nvSpPr>
        <xdr:cNvPr id="5562"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80</xdr:row>
      <xdr:rowOff>129887</xdr:rowOff>
    </xdr:from>
    <xdr:ext cx="295275" cy="169011"/>
    <xdr:sp macro="" textlink="">
      <xdr:nvSpPr>
        <xdr:cNvPr id="5563" name="AutoShape 1" descr="http://myacademy/eltcms/pix/i/course.gif"/>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3</xdr:col>
      <xdr:colOff>963324</xdr:colOff>
      <xdr:row>81</xdr:row>
      <xdr:rowOff>129887</xdr:rowOff>
    </xdr:from>
    <xdr:ext cx="295275" cy="169011"/>
    <xdr:sp macro="" textlink="">
      <xdr:nvSpPr>
        <xdr:cNvPr id="5564"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81</xdr:row>
      <xdr:rowOff>129887</xdr:rowOff>
    </xdr:from>
    <xdr:ext cx="295275" cy="169011"/>
    <xdr:sp macro="" textlink="">
      <xdr:nvSpPr>
        <xdr:cNvPr id="5565"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81</xdr:row>
      <xdr:rowOff>129887</xdr:rowOff>
    </xdr:from>
    <xdr:ext cx="295275" cy="169011"/>
    <xdr:sp macro="" textlink="">
      <xdr:nvSpPr>
        <xdr:cNvPr id="5566"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81</xdr:row>
      <xdr:rowOff>129887</xdr:rowOff>
    </xdr:from>
    <xdr:ext cx="295275" cy="169011"/>
    <xdr:sp macro="" textlink="">
      <xdr:nvSpPr>
        <xdr:cNvPr id="5567"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81</xdr:row>
      <xdr:rowOff>129887</xdr:rowOff>
    </xdr:from>
    <xdr:ext cx="295275" cy="169011"/>
    <xdr:sp macro="" textlink="">
      <xdr:nvSpPr>
        <xdr:cNvPr id="5568"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963324</xdr:colOff>
      <xdr:row>81</xdr:row>
      <xdr:rowOff>129887</xdr:rowOff>
    </xdr:from>
    <xdr:ext cx="295275" cy="169011"/>
    <xdr:sp macro="" textlink="">
      <xdr:nvSpPr>
        <xdr:cNvPr id="5569" name="AutoShape 1" descr="http://myacademy/eltcms/pix/i/course.gif"/>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7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7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7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7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7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7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7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7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7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7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8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8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8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8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8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8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8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8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8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8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9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9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9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9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9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9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9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9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9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59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0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0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0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0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0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0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0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0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0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0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1</xdr:col>
      <xdr:colOff>936914</xdr:colOff>
      <xdr:row>12</xdr:row>
      <xdr:rowOff>64943</xdr:rowOff>
    </xdr:from>
    <xdr:ext cx="295275" cy="219075"/>
    <xdr:sp macro="" textlink="">
      <xdr:nvSpPr>
        <xdr:cNvPr id="5610" name="AutoShape 114" descr="http://myacademy/eltcms/pix/i/course.gif"/>
        <xdr:cNvSpPr>
          <a:spLocks noChangeAspect="1" noChangeArrowheads="1"/>
        </xdr:cNvSpPr>
      </xdr:nvSpPr>
      <xdr:spPr bwMode="auto">
        <a:xfrm>
          <a:off x="2560494" y="252196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1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1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1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1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1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1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1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1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1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2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2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2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2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2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2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2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2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2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2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3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3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3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3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3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3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3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3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3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3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4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4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4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4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4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4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4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4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4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4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5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5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5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5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5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5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5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5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5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5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6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6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6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6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6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6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6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6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6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6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7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7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7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7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7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7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7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7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7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7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8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8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8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8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8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8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8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8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8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8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9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9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9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9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9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9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9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9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9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69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0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0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0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0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0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0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0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0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0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0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1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1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1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1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1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1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1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1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1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1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2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2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2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2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2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2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2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2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2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29"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30"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31"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32"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33"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34"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35"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36"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37"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38" name="AutoShape 114" descr="http://myacademy/eltcms/pix/i/course.gif"/>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3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4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4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4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4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4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4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4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4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4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4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5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5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5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5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5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5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5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5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5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5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6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6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6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6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6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6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6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6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6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6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7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7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7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7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7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7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7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7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7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7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8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8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8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8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8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8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8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8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8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8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9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9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9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9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9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9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9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9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9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79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0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0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0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0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0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0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0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0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0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0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1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1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1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1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1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1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1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1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1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1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2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2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2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2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2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2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2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2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2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2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3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3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3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3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3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3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3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3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3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3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4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4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4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4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4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4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4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4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4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4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5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5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5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5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5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5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5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5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5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5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6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6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6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6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6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6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6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6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6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6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7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7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7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7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7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7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7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7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7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7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8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8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8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8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8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8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8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8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8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8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9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9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9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9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9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9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9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9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9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89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0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0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0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0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0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0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0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0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0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0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1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1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1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1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1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1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1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1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1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1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2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2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2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2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2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2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2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2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2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2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3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3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3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3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3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3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3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3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3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3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4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4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4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4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4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4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4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4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4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4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5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5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5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5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5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5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5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5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5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5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6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6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6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6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6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6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6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6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6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6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7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7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7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7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7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7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7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7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7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7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8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8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8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8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8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8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8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8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8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8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9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9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9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9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9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9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9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9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9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599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0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0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0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0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0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0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0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0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0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0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1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1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1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1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1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1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1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1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1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1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2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2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2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2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2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2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2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2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2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2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3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3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3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3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3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3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3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3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3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3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4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4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4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4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4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4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4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4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4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4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5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5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5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5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5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5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5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5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5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5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6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6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6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6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6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65"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66"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67"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68"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69"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70"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71"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72"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73"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74" name="AutoShape 114" descr="http://myacademy/eltcms/pix/i/course.gif"/>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7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7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7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7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7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8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8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8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8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8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8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8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8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8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8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9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9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9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9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9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9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9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9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9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09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0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0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0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0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0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0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0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0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0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0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1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1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1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1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1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1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1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1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1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1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2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2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2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2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2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2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2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2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2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2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3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3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3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3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3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3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3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3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3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3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4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4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4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4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4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4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4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4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4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4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5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5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5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5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5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5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5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5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5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5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6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6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6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6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6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6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6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6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6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6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7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7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7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7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7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7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7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7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7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7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8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8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8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8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8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8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8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8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8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8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9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9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9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9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9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9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9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9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9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19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0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0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0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0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0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0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0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0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0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0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1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1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1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1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1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1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1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1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1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1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2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2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2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2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2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2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2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2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2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2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3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3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3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33"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34"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35"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36"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37"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38"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39"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40"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41"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6242" name="AutoShape 114" descr="http://myacademy/eltcms/pix/i/course.gif"/>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4</xdr:col>
      <xdr:colOff>963324</xdr:colOff>
      <xdr:row>34</xdr:row>
      <xdr:rowOff>129887</xdr:rowOff>
    </xdr:from>
    <xdr:ext cx="295275" cy="169011"/>
    <xdr:sp macro="" textlink="">
      <xdr:nvSpPr>
        <xdr:cNvPr id="6576" name="AutoShape 1" descr="http://myacademy/eltcms/pix/i/course.gif"/>
        <xdr:cNvSpPr>
          <a:spLocks noChangeAspect="1" noChangeArrowheads="1"/>
        </xdr:cNvSpPr>
      </xdr:nvSpPr>
      <xdr:spPr bwMode="auto">
        <a:xfrm>
          <a:off x="9240549" y="6311612"/>
          <a:ext cx="295275" cy="169011"/>
        </a:xfrm>
        <a:prstGeom prst="rect">
          <a:avLst/>
        </a:prstGeom>
        <a:noFill/>
        <a:ln w="9525">
          <a:noFill/>
          <a:miter lim="800000"/>
          <a:headEnd/>
          <a:tailEnd/>
        </a:ln>
      </xdr:spPr>
    </xdr:sp>
    <xdr:clientData/>
  </xdr:oneCellAnchor>
  <xdr:oneCellAnchor>
    <xdr:from>
      <xdr:col>4</xdr:col>
      <xdr:colOff>963324</xdr:colOff>
      <xdr:row>34</xdr:row>
      <xdr:rowOff>129887</xdr:rowOff>
    </xdr:from>
    <xdr:ext cx="295275" cy="169011"/>
    <xdr:sp macro="" textlink="">
      <xdr:nvSpPr>
        <xdr:cNvPr id="6577" name="AutoShape 1" descr="http://myacademy/eltcms/pix/i/course.gif"/>
        <xdr:cNvSpPr>
          <a:spLocks noChangeAspect="1" noChangeArrowheads="1"/>
        </xdr:cNvSpPr>
      </xdr:nvSpPr>
      <xdr:spPr bwMode="auto">
        <a:xfrm>
          <a:off x="9240549" y="6311612"/>
          <a:ext cx="295275" cy="169011"/>
        </a:xfrm>
        <a:prstGeom prst="rect">
          <a:avLst/>
        </a:prstGeom>
        <a:noFill/>
        <a:ln w="9525">
          <a:noFill/>
          <a:miter lim="800000"/>
          <a:headEnd/>
          <a:tailEnd/>
        </a:ln>
      </xdr:spPr>
    </xdr:sp>
    <xdr:clientData/>
  </xdr:oneCellAnchor>
  <xdr:oneCellAnchor>
    <xdr:from>
      <xdr:col>4</xdr:col>
      <xdr:colOff>963324</xdr:colOff>
      <xdr:row>34</xdr:row>
      <xdr:rowOff>129887</xdr:rowOff>
    </xdr:from>
    <xdr:ext cx="295275" cy="169011"/>
    <xdr:sp macro="" textlink="">
      <xdr:nvSpPr>
        <xdr:cNvPr id="6578" name="AutoShape 1" descr="http://myacademy/eltcms/pix/i/course.gif"/>
        <xdr:cNvSpPr>
          <a:spLocks noChangeAspect="1" noChangeArrowheads="1"/>
        </xdr:cNvSpPr>
      </xdr:nvSpPr>
      <xdr:spPr bwMode="auto">
        <a:xfrm>
          <a:off x="9240549" y="6311612"/>
          <a:ext cx="295275" cy="169011"/>
        </a:xfrm>
        <a:prstGeom prst="rect">
          <a:avLst/>
        </a:prstGeom>
        <a:noFill/>
        <a:ln w="9525">
          <a:noFill/>
          <a:miter lim="800000"/>
          <a:headEnd/>
          <a:tailEnd/>
        </a:ln>
      </xdr:spPr>
    </xdr:sp>
    <xdr:clientData/>
  </xdr:oneCellAnchor>
  <xdr:oneCellAnchor>
    <xdr:from>
      <xdr:col>4</xdr:col>
      <xdr:colOff>963324</xdr:colOff>
      <xdr:row>34</xdr:row>
      <xdr:rowOff>129887</xdr:rowOff>
    </xdr:from>
    <xdr:ext cx="295275" cy="169011"/>
    <xdr:sp macro="" textlink="">
      <xdr:nvSpPr>
        <xdr:cNvPr id="6579" name="AutoShape 1" descr="http://myacademy/eltcms/pix/i/course.gif"/>
        <xdr:cNvSpPr>
          <a:spLocks noChangeAspect="1" noChangeArrowheads="1"/>
        </xdr:cNvSpPr>
      </xdr:nvSpPr>
      <xdr:spPr bwMode="auto">
        <a:xfrm>
          <a:off x="9240549" y="6311612"/>
          <a:ext cx="295275" cy="169011"/>
        </a:xfrm>
        <a:prstGeom prst="rect">
          <a:avLst/>
        </a:prstGeom>
        <a:noFill/>
        <a:ln w="9525">
          <a:noFill/>
          <a:miter lim="800000"/>
          <a:headEnd/>
          <a:tailEnd/>
        </a:ln>
      </xdr:spPr>
    </xdr:sp>
    <xdr:clientData/>
  </xdr:oneCellAnchor>
  <xdr:oneCellAnchor>
    <xdr:from>
      <xdr:col>4</xdr:col>
      <xdr:colOff>963324</xdr:colOff>
      <xdr:row>34</xdr:row>
      <xdr:rowOff>129887</xdr:rowOff>
    </xdr:from>
    <xdr:ext cx="295275" cy="169011"/>
    <xdr:sp macro="" textlink="">
      <xdr:nvSpPr>
        <xdr:cNvPr id="6580" name="AutoShape 1" descr="http://myacademy/eltcms/pix/i/course.gif"/>
        <xdr:cNvSpPr>
          <a:spLocks noChangeAspect="1" noChangeArrowheads="1"/>
        </xdr:cNvSpPr>
      </xdr:nvSpPr>
      <xdr:spPr bwMode="auto">
        <a:xfrm>
          <a:off x="9240549" y="6311612"/>
          <a:ext cx="295275" cy="169011"/>
        </a:xfrm>
        <a:prstGeom prst="rect">
          <a:avLst/>
        </a:prstGeom>
        <a:noFill/>
        <a:ln w="9525">
          <a:noFill/>
          <a:miter lim="800000"/>
          <a:headEnd/>
          <a:tailEnd/>
        </a:ln>
      </xdr:spPr>
    </xdr:sp>
    <xdr:clientData/>
  </xdr:oneCellAnchor>
  <xdr:oneCellAnchor>
    <xdr:from>
      <xdr:col>4</xdr:col>
      <xdr:colOff>963324</xdr:colOff>
      <xdr:row>34</xdr:row>
      <xdr:rowOff>129887</xdr:rowOff>
    </xdr:from>
    <xdr:ext cx="295275" cy="169011"/>
    <xdr:sp macro="" textlink="">
      <xdr:nvSpPr>
        <xdr:cNvPr id="6581" name="AutoShape 1" descr="http://myacademy/eltcms/pix/i/course.gif"/>
        <xdr:cNvSpPr>
          <a:spLocks noChangeAspect="1" noChangeArrowheads="1"/>
        </xdr:cNvSpPr>
      </xdr:nvSpPr>
      <xdr:spPr bwMode="auto">
        <a:xfrm>
          <a:off x="9240549" y="6311612"/>
          <a:ext cx="295275" cy="169011"/>
        </a:xfrm>
        <a:prstGeom prst="rect">
          <a:avLst/>
        </a:prstGeom>
        <a:noFill/>
        <a:ln w="9525">
          <a:noFill/>
          <a:miter lim="800000"/>
          <a:headEnd/>
          <a:tailEnd/>
        </a:ln>
      </xdr:spPr>
    </xdr:sp>
    <xdr:clientData/>
  </xdr:oneCellAnchor>
  <xdr:oneCellAnchor>
    <xdr:from>
      <xdr:col>4</xdr:col>
      <xdr:colOff>963324</xdr:colOff>
      <xdr:row>34</xdr:row>
      <xdr:rowOff>129887</xdr:rowOff>
    </xdr:from>
    <xdr:ext cx="295275" cy="169011"/>
    <xdr:sp macro="" textlink="">
      <xdr:nvSpPr>
        <xdr:cNvPr id="6582" name="AutoShape 1" descr="http://myacademy/eltcms/pix/i/course.gif"/>
        <xdr:cNvSpPr>
          <a:spLocks noChangeAspect="1" noChangeArrowheads="1"/>
        </xdr:cNvSpPr>
      </xdr:nvSpPr>
      <xdr:spPr bwMode="auto">
        <a:xfrm>
          <a:off x="9240549" y="6311612"/>
          <a:ext cx="295275" cy="169011"/>
        </a:xfrm>
        <a:prstGeom prst="rect">
          <a:avLst/>
        </a:prstGeom>
        <a:noFill/>
        <a:ln w="9525">
          <a:noFill/>
          <a:miter lim="800000"/>
          <a:headEnd/>
          <a:tailEnd/>
        </a:ln>
      </xdr:spPr>
    </xdr:sp>
    <xdr:clientData/>
  </xdr:oneCellAnchor>
  <xdr:oneCellAnchor>
    <xdr:from>
      <xdr:col>4</xdr:col>
      <xdr:colOff>963324</xdr:colOff>
      <xdr:row>34</xdr:row>
      <xdr:rowOff>129887</xdr:rowOff>
    </xdr:from>
    <xdr:ext cx="295275" cy="169011"/>
    <xdr:sp macro="" textlink="">
      <xdr:nvSpPr>
        <xdr:cNvPr id="6583" name="AutoShape 1" descr="http://myacademy/eltcms/pix/i/course.gif"/>
        <xdr:cNvSpPr>
          <a:spLocks noChangeAspect="1" noChangeArrowheads="1"/>
        </xdr:cNvSpPr>
      </xdr:nvSpPr>
      <xdr:spPr bwMode="auto">
        <a:xfrm>
          <a:off x="9240549" y="6311612"/>
          <a:ext cx="295275" cy="169011"/>
        </a:xfrm>
        <a:prstGeom prst="rect">
          <a:avLst/>
        </a:prstGeom>
        <a:noFill/>
        <a:ln w="9525">
          <a:noFill/>
          <a:miter lim="800000"/>
          <a:headEnd/>
          <a:tailEnd/>
        </a:ln>
      </xdr:spPr>
    </xdr:sp>
    <xdr:clientData/>
  </xdr:oneCellAnchor>
  <xdr:oneCellAnchor>
    <xdr:from>
      <xdr:col>4</xdr:col>
      <xdr:colOff>963324</xdr:colOff>
      <xdr:row>34</xdr:row>
      <xdr:rowOff>129887</xdr:rowOff>
    </xdr:from>
    <xdr:ext cx="295275" cy="169011"/>
    <xdr:sp macro="" textlink="">
      <xdr:nvSpPr>
        <xdr:cNvPr id="6584" name="AutoShape 1" descr="http://myacademy/eltcms/pix/i/course.gif"/>
        <xdr:cNvSpPr>
          <a:spLocks noChangeAspect="1" noChangeArrowheads="1"/>
        </xdr:cNvSpPr>
      </xdr:nvSpPr>
      <xdr:spPr bwMode="auto">
        <a:xfrm>
          <a:off x="9240549" y="6311612"/>
          <a:ext cx="295275" cy="169011"/>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585"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586" name="AutoShape 4"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587"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588"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589"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590" name="AutoShape 63"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591" name="AutoShape 40"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592" name="AutoShape 9"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593"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594" name="AutoShape 4"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595"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596"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597"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598" name="AutoShape 63"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599" name="AutoShape 40"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00" name="AutoShape 9"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01"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02" name="AutoShape 4"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03"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04"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05"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06" name="AutoShape 63"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07" name="AutoShape 40"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08" name="AutoShape 9"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09"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10" name="AutoShape 4"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11"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12"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13"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14" name="AutoShape 63"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15" name="AutoShape 40"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16" name="AutoShape 9"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17"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18" name="AutoShape 4"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19"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20"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21"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22" name="AutoShape 63"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23" name="AutoShape 40"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24" name="AutoShape 9"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25"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26" name="AutoShape 4"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27"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28"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27575"/>
    <xdr:sp macro="" textlink="">
      <xdr:nvSpPr>
        <xdr:cNvPr id="6629"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30" name="AutoShape 63"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31" name="AutoShape 40"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32" name="AutoShape 9"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33"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34" name="AutoShape 4"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35"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36"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4</xdr:col>
      <xdr:colOff>0</xdr:colOff>
      <xdr:row>60</xdr:row>
      <xdr:rowOff>0</xdr:rowOff>
    </xdr:from>
    <xdr:ext cx="295275" cy="331303"/>
    <xdr:sp macro="" textlink="">
      <xdr:nvSpPr>
        <xdr:cNvPr id="6637"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2</xdr:col>
      <xdr:colOff>3086100</xdr:colOff>
      <xdr:row>60</xdr:row>
      <xdr:rowOff>0</xdr:rowOff>
    </xdr:from>
    <xdr:ext cx="295275" cy="28575"/>
    <xdr:sp macro="" textlink="">
      <xdr:nvSpPr>
        <xdr:cNvPr id="6638" name="AutoShape 109" descr="http://myacademy/eltcms/pix/i/course.gif"/>
        <xdr:cNvSpPr>
          <a:spLocks noChangeAspect="1" noChangeArrowheads="1"/>
        </xdr:cNvSpPr>
      </xdr:nvSpPr>
      <xdr:spPr bwMode="auto">
        <a:xfrm>
          <a:off x="5124450" y="6534150"/>
          <a:ext cx="295275" cy="28575"/>
        </a:xfrm>
        <a:prstGeom prst="rect">
          <a:avLst/>
        </a:prstGeom>
        <a:noFill/>
        <a:ln w="9525">
          <a:noFill/>
          <a:miter lim="800000"/>
          <a:headEnd/>
          <a:tailEnd/>
        </a:ln>
      </xdr:spPr>
    </xdr:sp>
    <xdr:clientData/>
  </xdr:oneCellAnchor>
  <xdr:oneCellAnchor>
    <xdr:from>
      <xdr:col>2</xdr:col>
      <xdr:colOff>3257550</xdr:colOff>
      <xdr:row>60</xdr:row>
      <xdr:rowOff>0</xdr:rowOff>
    </xdr:from>
    <xdr:ext cx="295275" cy="28575"/>
    <xdr:sp macro="" textlink="">
      <xdr:nvSpPr>
        <xdr:cNvPr id="6639" name="AutoShape 40" descr="http://myacademy/eltcms/pix/i/course.gif"/>
        <xdr:cNvSpPr>
          <a:spLocks noChangeAspect="1" noChangeArrowheads="1"/>
        </xdr:cNvSpPr>
      </xdr:nvSpPr>
      <xdr:spPr bwMode="auto">
        <a:xfrm>
          <a:off x="5124450"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40"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41"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42"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43"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44"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45"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46"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47"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48"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49"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50"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51"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52"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53"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54"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55"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56"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57"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58"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59"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60"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61"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62"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63"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64"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65"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66"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67"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68"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69"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70"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71"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72"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73"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74"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75"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76"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77"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78"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79"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80"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81"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82"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83"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84"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85"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86"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87"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88"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89"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90"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91"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92"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93"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94"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95"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696"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97"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98"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699"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00"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01"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02"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03"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04"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05"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06"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07"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08"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09"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10"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11"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12"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13"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14"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15"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16"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17"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18"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19"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20"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21"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22"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23"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24"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25"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26"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27"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28"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29"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30"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31"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32"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33"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34"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35"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36"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37"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38"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39"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40"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41"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42"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43"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44"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45"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46"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47"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48"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49"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50"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51"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52"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53"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54"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55"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56"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57"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58"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59"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60"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61"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62"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63"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64"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65"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66"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67"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68"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69"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70"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71"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72"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73"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74"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75"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76"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77"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78"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79"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80"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81"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82"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83"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84"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85"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86"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87"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88"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89"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90"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91"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92"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93"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794"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95"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96"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97"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98"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799"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800"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801"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02"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03"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04"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05"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06"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07"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08"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09"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810" name="AutoShape 11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811" name="AutoShape 40"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812" name="AutoShape 9"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813"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814" name="AutoShape 4"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4</xdr:col>
      <xdr:colOff>0</xdr:colOff>
      <xdr:row>60</xdr:row>
      <xdr:rowOff>0</xdr:rowOff>
    </xdr:from>
    <xdr:ext cx="295275" cy="157581"/>
    <xdr:sp macro="" textlink="">
      <xdr:nvSpPr>
        <xdr:cNvPr id="6815" name="AutoShape 1" descr="http://myacademy/eltcms/pix/i/course.gif"/>
        <xdr:cNvSpPr>
          <a:spLocks noChangeAspect="1" noChangeArrowheads="1"/>
        </xdr:cNvSpPr>
      </xdr:nvSpPr>
      <xdr:spPr bwMode="auto">
        <a:xfrm>
          <a:off x="8277225" y="6534150"/>
          <a:ext cx="295275" cy="157581"/>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17" name="AutoShape 109"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18" name="AutoShape 40"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19" name="AutoShape 9"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20" name="AutoShape 1"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21" name="AutoShape 4"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22" name="AutoShape 1"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23" name="AutoShape 1"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24" name="AutoShape 1"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25" name="AutoShape 109"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26" name="AutoShape 40"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27" name="AutoShape 9"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28" name="AutoShape 1"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29" name="AutoShape 4"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30" name="AutoShape 1"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2</xdr:col>
      <xdr:colOff>0</xdr:colOff>
      <xdr:row>60</xdr:row>
      <xdr:rowOff>0</xdr:rowOff>
    </xdr:from>
    <xdr:ext cx="295275" cy="28575"/>
    <xdr:sp macro="" textlink="">
      <xdr:nvSpPr>
        <xdr:cNvPr id="6831" name="AutoShape 1" descr="http://myacademy/eltcms/pix/i/course.gif"/>
        <xdr:cNvSpPr>
          <a:spLocks noChangeAspect="1" noChangeArrowheads="1"/>
        </xdr:cNvSpPr>
      </xdr:nvSpPr>
      <xdr:spPr bwMode="auto">
        <a:xfrm>
          <a:off x="39719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33"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34"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35"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36"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37"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38"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39"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40"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41"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42"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43"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44"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45"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46"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47"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48"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49"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50"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51"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52" name="AutoShape 10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53" name="AutoShape 40"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54" name="AutoShape 9"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55"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56" name="AutoShape 4"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4</xdr:col>
      <xdr:colOff>0</xdr:colOff>
      <xdr:row>60</xdr:row>
      <xdr:rowOff>0</xdr:rowOff>
    </xdr:from>
    <xdr:ext cx="295275" cy="28575"/>
    <xdr:sp macro="" textlink="">
      <xdr:nvSpPr>
        <xdr:cNvPr id="6857" name="AutoShape 1" descr="http://myacademy/eltcms/pix/i/course.gif"/>
        <xdr:cNvSpPr>
          <a:spLocks noChangeAspect="1" noChangeArrowheads="1"/>
        </xdr:cNvSpPr>
      </xdr:nvSpPr>
      <xdr:spPr bwMode="auto">
        <a:xfrm>
          <a:off x="8277225" y="6534150"/>
          <a:ext cx="295275" cy="285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60" name="AutoShape 40"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61" name="AutoShape 9"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62"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63" name="AutoShape 4"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64"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65"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66" name="AutoShape 114"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67" name="AutoShape 40"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68" name="AutoShape 9"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69"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70" name="AutoShape 4"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71"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72"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73" name="AutoShape 114"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74" name="AutoShape 40"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75" name="AutoShape 9"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76" name="AutoShape 1"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77" name="AutoShape 4"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78" name="AutoShape 1"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79" name="AutoShape 1"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80" name="AutoShape 114"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81" name="AutoShape 40"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82" name="AutoShape 9"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83" name="AutoShape 1"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84" name="AutoShape 4"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85" name="AutoShape 1"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6886" name="AutoShape 1" descr="http://myacademy/eltcms/pix/i/course.gif"/>
        <xdr:cNvSpPr>
          <a:spLocks noChangeAspect="1" noChangeArrowheads="1"/>
        </xdr:cNvSpPr>
      </xdr:nvSpPr>
      <xdr:spPr bwMode="auto">
        <a:xfrm>
          <a:off x="3971925" y="6181725"/>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87" name="AutoShape 114"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88" name="AutoShape 40"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89" name="AutoShape 9"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90"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91" name="AutoShape 4"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92"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93"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94" name="AutoShape 114"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95" name="AutoShape 40"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96" name="AutoShape 9"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97"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98" name="AutoShape 4"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899"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6900" name="AutoShape 1" descr="http://myacademy/eltcms/pix/i/course.gif"/>
        <xdr:cNvSpPr>
          <a:spLocks noChangeAspect="1" noChangeArrowheads="1"/>
        </xdr:cNvSpPr>
      </xdr:nvSpPr>
      <xdr:spPr bwMode="auto">
        <a:xfrm>
          <a:off x="3971925" y="6181725"/>
          <a:ext cx="295275" cy="219075"/>
        </a:xfrm>
        <a:prstGeom prst="rect">
          <a:avLst/>
        </a:prstGeom>
        <a:noFill/>
        <a:ln w="9525">
          <a:noFill/>
          <a:miter lim="800000"/>
          <a:headEnd/>
          <a:tailEnd/>
        </a:ln>
      </xdr:spPr>
    </xdr:sp>
    <xdr:clientData/>
  </xdr:oneCellAnchor>
  <xdr:oneCellAnchor>
    <xdr:from>
      <xdr:col>3</xdr:col>
      <xdr:colOff>963324</xdr:colOff>
      <xdr:row>34</xdr:row>
      <xdr:rowOff>129887</xdr:rowOff>
    </xdr:from>
    <xdr:ext cx="295275" cy="169011"/>
    <xdr:sp macro="" textlink="">
      <xdr:nvSpPr>
        <xdr:cNvPr id="6901" name="AutoShape 1" descr="http://myacademy/eltcms/pix/i/course.gif"/>
        <xdr:cNvSpPr>
          <a:spLocks noChangeAspect="1" noChangeArrowheads="1"/>
        </xdr:cNvSpPr>
      </xdr:nvSpPr>
      <xdr:spPr bwMode="auto">
        <a:xfrm>
          <a:off x="6087774" y="6311612"/>
          <a:ext cx="295275" cy="169011"/>
        </a:xfrm>
        <a:prstGeom prst="rect">
          <a:avLst/>
        </a:prstGeom>
        <a:noFill/>
        <a:ln w="9525">
          <a:noFill/>
          <a:miter lim="800000"/>
          <a:headEnd/>
          <a:tailEnd/>
        </a:ln>
      </xdr:spPr>
    </xdr:sp>
    <xdr:clientData/>
  </xdr:oneCellAnchor>
  <xdr:oneCellAnchor>
    <xdr:from>
      <xdr:col>3</xdr:col>
      <xdr:colOff>963324</xdr:colOff>
      <xdr:row>34</xdr:row>
      <xdr:rowOff>129887</xdr:rowOff>
    </xdr:from>
    <xdr:ext cx="295275" cy="169011"/>
    <xdr:sp macro="" textlink="">
      <xdr:nvSpPr>
        <xdr:cNvPr id="6902" name="AutoShape 1" descr="http://myacademy/eltcms/pix/i/course.gif"/>
        <xdr:cNvSpPr>
          <a:spLocks noChangeAspect="1" noChangeArrowheads="1"/>
        </xdr:cNvSpPr>
      </xdr:nvSpPr>
      <xdr:spPr bwMode="auto">
        <a:xfrm>
          <a:off x="6087774" y="6311612"/>
          <a:ext cx="295275" cy="169011"/>
        </a:xfrm>
        <a:prstGeom prst="rect">
          <a:avLst/>
        </a:prstGeom>
        <a:noFill/>
        <a:ln w="9525">
          <a:noFill/>
          <a:miter lim="800000"/>
          <a:headEnd/>
          <a:tailEnd/>
        </a:ln>
      </xdr:spPr>
    </xdr:sp>
    <xdr:clientData/>
  </xdr:oneCellAnchor>
  <xdr:oneCellAnchor>
    <xdr:from>
      <xdr:col>3</xdr:col>
      <xdr:colOff>963324</xdr:colOff>
      <xdr:row>34</xdr:row>
      <xdr:rowOff>129887</xdr:rowOff>
    </xdr:from>
    <xdr:ext cx="295275" cy="169011"/>
    <xdr:sp macro="" textlink="">
      <xdr:nvSpPr>
        <xdr:cNvPr id="6903" name="AutoShape 1" descr="http://myacademy/eltcms/pix/i/course.gif"/>
        <xdr:cNvSpPr>
          <a:spLocks noChangeAspect="1" noChangeArrowheads="1"/>
        </xdr:cNvSpPr>
      </xdr:nvSpPr>
      <xdr:spPr bwMode="auto">
        <a:xfrm>
          <a:off x="6087774" y="6311612"/>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904" name="AutoShape 1" descr="http://myacademy/eltcms/pix/i/course.gif"/>
        <xdr:cNvSpPr>
          <a:spLocks noChangeAspect="1" noChangeArrowheads="1"/>
        </xdr:cNvSpPr>
      </xdr:nvSpPr>
      <xdr:spPr bwMode="auto">
        <a:xfrm>
          <a:off x="6087774" y="6502112"/>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905" name="AutoShape 1" descr="http://myacademy/eltcms/pix/i/course.gif"/>
        <xdr:cNvSpPr>
          <a:spLocks noChangeAspect="1" noChangeArrowheads="1"/>
        </xdr:cNvSpPr>
      </xdr:nvSpPr>
      <xdr:spPr bwMode="auto">
        <a:xfrm>
          <a:off x="6087774" y="6502112"/>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906" name="AutoShape 1" descr="http://myacademy/eltcms/pix/i/course.gif"/>
        <xdr:cNvSpPr>
          <a:spLocks noChangeAspect="1" noChangeArrowheads="1"/>
        </xdr:cNvSpPr>
      </xdr:nvSpPr>
      <xdr:spPr bwMode="auto">
        <a:xfrm>
          <a:off x="6087774" y="6502112"/>
          <a:ext cx="295275" cy="169011"/>
        </a:xfrm>
        <a:prstGeom prst="rect">
          <a:avLst/>
        </a:prstGeom>
        <a:noFill/>
        <a:ln w="9525">
          <a:noFill/>
          <a:miter lim="800000"/>
          <a:headEnd/>
          <a:tailEnd/>
        </a:ln>
      </xdr:spPr>
    </xdr:sp>
    <xdr:clientData/>
  </xdr:oneCellAnchor>
  <xdr:oneCellAnchor>
    <xdr:from>
      <xdr:col>3</xdr:col>
      <xdr:colOff>963324</xdr:colOff>
      <xdr:row>60</xdr:row>
      <xdr:rowOff>129887</xdr:rowOff>
    </xdr:from>
    <xdr:ext cx="295275" cy="169011"/>
    <xdr:sp macro="" textlink="">
      <xdr:nvSpPr>
        <xdr:cNvPr id="6907" name="AutoShape 1" descr="http://myacademy/eltcms/pix/i/course.gif"/>
        <xdr:cNvSpPr>
          <a:spLocks noChangeAspect="1" noChangeArrowheads="1"/>
        </xdr:cNvSpPr>
      </xdr:nvSpPr>
      <xdr:spPr bwMode="auto">
        <a:xfrm>
          <a:off x="6087774" y="6664037"/>
          <a:ext cx="295275" cy="169011"/>
        </a:xfrm>
        <a:prstGeom prst="rect">
          <a:avLst/>
        </a:prstGeom>
        <a:noFill/>
        <a:ln w="9525">
          <a:noFill/>
          <a:miter lim="800000"/>
          <a:headEnd/>
          <a:tailEnd/>
        </a:ln>
      </xdr:spPr>
    </xdr:sp>
    <xdr:clientData/>
  </xdr:oneCellAnchor>
  <xdr:oneCellAnchor>
    <xdr:from>
      <xdr:col>3</xdr:col>
      <xdr:colOff>963324</xdr:colOff>
      <xdr:row>60</xdr:row>
      <xdr:rowOff>129887</xdr:rowOff>
    </xdr:from>
    <xdr:ext cx="295275" cy="169011"/>
    <xdr:sp macro="" textlink="">
      <xdr:nvSpPr>
        <xdr:cNvPr id="6908" name="AutoShape 1" descr="http://myacademy/eltcms/pix/i/course.gif"/>
        <xdr:cNvSpPr>
          <a:spLocks noChangeAspect="1" noChangeArrowheads="1"/>
        </xdr:cNvSpPr>
      </xdr:nvSpPr>
      <xdr:spPr bwMode="auto">
        <a:xfrm>
          <a:off x="6087774" y="6664037"/>
          <a:ext cx="295275" cy="169011"/>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09"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10" name="AutoShape 4"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11"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12"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13"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14" name="AutoShape 63"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15" name="AutoShape 40"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16" name="AutoShape 9"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17"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18" name="AutoShape 4"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19"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20"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21"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22" name="AutoShape 63"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23" name="AutoShape 40"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24" name="AutoShape 9"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25"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26" name="AutoShape 4"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27"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28"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29"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30" name="AutoShape 63"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31" name="AutoShape 40"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32" name="AutoShape 9"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33"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34" name="AutoShape 4"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35"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36"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37"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38" name="AutoShape 63"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39" name="AutoShape 40"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40" name="AutoShape 9"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41"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42" name="AutoShape 4"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43"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44"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45"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46" name="AutoShape 63"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47" name="AutoShape 40"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48" name="AutoShape 9"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49"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50" name="AutoShape 4"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51"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52"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27575"/>
    <xdr:sp macro="" textlink="">
      <xdr:nvSpPr>
        <xdr:cNvPr id="6953" name="AutoShape 1" descr="http://myacademy/eltcms/pix/i/course.gif"/>
        <xdr:cNvSpPr>
          <a:spLocks noChangeAspect="1" noChangeArrowheads="1"/>
        </xdr:cNvSpPr>
      </xdr:nvSpPr>
      <xdr:spPr bwMode="auto">
        <a:xfrm>
          <a:off x="8277225" y="6534150"/>
          <a:ext cx="295275" cy="327575"/>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54" name="AutoShape 63"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55" name="AutoShape 40"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56" name="AutoShape 9"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57"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58" name="AutoShape 4"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59"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0</xdr:rowOff>
    </xdr:from>
    <xdr:ext cx="295275" cy="331303"/>
    <xdr:sp macro="" textlink="">
      <xdr:nvSpPr>
        <xdr:cNvPr id="6960" name="AutoShape 1" descr="http://myacademy/eltcms/pix/i/course.gif"/>
        <xdr:cNvSpPr>
          <a:spLocks noChangeAspect="1" noChangeArrowheads="1"/>
        </xdr:cNvSpPr>
      </xdr:nvSpPr>
      <xdr:spPr bwMode="auto">
        <a:xfrm>
          <a:off x="8277225" y="6534150"/>
          <a:ext cx="295275" cy="331303"/>
        </a:xfrm>
        <a:prstGeom prst="rect">
          <a:avLst/>
        </a:prstGeom>
        <a:noFill/>
        <a:ln w="9525">
          <a:noFill/>
          <a:miter lim="800000"/>
          <a:headEnd/>
          <a:tailEnd/>
        </a:ln>
      </xdr:spPr>
    </xdr:sp>
    <xdr:clientData/>
  </xdr:oneCellAnchor>
  <xdr:oneCellAnchor>
    <xdr:from>
      <xdr:col>3</xdr:col>
      <xdr:colOff>0</xdr:colOff>
      <xdr:row>28</xdr:row>
      <xdr:rowOff>173182</xdr:rowOff>
    </xdr:from>
    <xdr:ext cx="295275" cy="331303"/>
    <xdr:sp macro="" textlink="">
      <xdr:nvSpPr>
        <xdr:cNvPr id="6961" name="AutoShape 1" descr="http://myacademy/eltcms/pix/i/course.gif"/>
        <xdr:cNvSpPr>
          <a:spLocks noChangeAspect="1" noChangeArrowheads="1"/>
        </xdr:cNvSpPr>
      </xdr:nvSpPr>
      <xdr:spPr bwMode="auto">
        <a:xfrm>
          <a:off x="7544233" y="5704176"/>
          <a:ext cx="295275" cy="331303"/>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15" name="AutoShape 40"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16" name="AutoShape 9"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17"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18" name="AutoShape 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19"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20"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21" name="AutoShape 11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22" name="AutoShape 40"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23" name="AutoShape 9"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24"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25" name="AutoShape 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26"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27"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28" name="AutoShape 114"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29" name="AutoShape 40"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30" name="AutoShape 9"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31"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32" name="AutoShape 4"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33"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34"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35" name="AutoShape 114"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36" name="AutoShape 40"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37" name="AutoShape 9"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38"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39" name="AutoShape 4"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40"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41"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42" name="AutoShape 11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43" name="AutoShape 40"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44" name="AutoShape 9"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45"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46" name="AutoShape 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47"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48"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49" name="AutoShape 11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50" name="AutoShape 40"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51" name="AutoShape 9"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52"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53" name="AutoShape 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54"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55"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56" name="AutoShape 40"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57" name="AutoShape 9"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58"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59" name="AutoShape 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60"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61"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62" name="AutoShape 11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63" name="AutoShape 40"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64" name="AutoShape 9"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65"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66" name="AutoShape 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67"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68"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69" name="AutoShape 114"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70" name="AutoShape 40"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71" name="AutoShape 9"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72"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73" name="AutoShape 4"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74"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75"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76" name="AutoShape 114"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77" name="AutoShape 40"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78" name="AutoShape 9"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79"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80" name="AutoShape 4"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81"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7082" name="AutoShape 1" descr="http://myacademy/eltcms/pix/i/course.gif"/>
        <xdr:cNvSpPr>
          <a:spLocks noChangeAspect="1" noChangeArrowheads="1"/>
        </xdr:cNvSpPr>
      </xdr:nvSpPr>
      <xdr:spPr bwMode="auto">
        <a:xfrm>
          <a:off x="3961534" y="7089631"/>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83" name="AutoShape 11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84" name="AutoShape 40"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85" name="AutoShape 9"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86"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87" name="AutoShape 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88"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89"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90" name="AutoShape 11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91" name="AutoShape 40"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92" name="AutoShape 9"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93"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94" name="AutoShape 4"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95"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7096" name="AutoShape 1" descr="http://myacademy/eltcms/pix/i/course.gif"/>
        <xdr:cNvSpPr>
          <a:spLocks noChangeAspect="1" noChangeArrowheads="1"/>
        </xdr:cNvSpPr>
      </xdr:nvSpPr>
      <xdr:spPr bwMode="auto">
        <a:xfrm>
          <a:off x="3961534" y="7089631"/>
          <a:ext cx="295275" cy="219075"/>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097"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098"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099"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4</xdr:col>
      <xdr:colOff>963324</xdr:colOff>
      <xdr:row>42</xdr:row>
      <xdr:rowOff>129887</xdr:rowOff>
    </xdr:from>
    <xdr:ext cx="295275" cy="169011"/>
    <xdr:sp macro="" textlink="">
      <xdr:nvSpPr>
        <xdr:cNvPr id="7100"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42</xdr:row>
      <xdr:rowOff>129887</xdr:rowOff>
    </xdr:from>
    <xdr:ext cx="295275" cy="169011"/>
    <xdr:sp macro="" textlink="">
      <xdr:nvSpPr>
        <xdr:cNvPr id="7101"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42</xdr:row>
      <xdr:rowOff>129887</xdr:rowOff>
    </xdr:from>
    <xdr:ext cx="295275" cy="169011"/>
    <xdr:sp macro="" textlink="">
      <xdr:nvSpPr>
        <xdr:cNvPr id="7102"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42</xdr:row>
      <xdr:rowOff>129887</xdr:rowOff>
    </xdr:from>
    <xdr:ext cx="295275" cy="169011"/>
    <xdr:sp macro="" textlink="">
      <xdr:nvSpPr>
        <xdr:cNvPr id="7103"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42</xdr:row>
      <xdr:rowOff>129887</xdr:rowOff>
    </xdr:from>
    <xdr:ext cx="295275" cy="169011"/>
    <xdr:sp macro="" textlink="">
      <xdr:nvSpPr>
        <xdr:cNvPr id="7104"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42</xdr:row>
      <xdr:rowOff>129887</xdr:rowOff>
    </xdr:from>
    <xdr:ext cx="295275" cy="169011"/>
    <xdr:sp macro="" textlink="">
      <xdr:nvSpPr>
        <xdr:cNvPr id="7105"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42</xdr:row>
      <xdr:rowOff>129887</xdr:rowOff>
    </xdr:from>
    <xdr:ext cx="295275" cy="169011"/>
    <xdr:sp macro="" textlink="">
      <xdr:nvSpPr>
        <xdr:cNvPr id="7106"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42</xdr:row>
      <xdr:rowOff>129887</xdr:rowOff>
    </xdr:from>
    <xdr:ext cx="295275" cy="169011"/>
    <xdr:sp macro="" textlink="">
      <xdr:nvSpPr>
        <xdr:cNvPr id="7107"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42</xdr:row>
      <xdr:rowOff>129887</xdr:rowOff>
    </xdr:from>
    <xdr:ext cx="295275" cy="169011"/>
    <xdr:sp macro="" textlink="">
      <xdr:nvSpPr>
        <xdr:cNvPr id="7108"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109"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110"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111"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12"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13"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14"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15"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16"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17"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18"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19"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20"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21"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22"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23" name="AutoShape 1" descr="http://myacademy/eltcms/pix/i/course.gif"/>
        <xdr:cNvSpPr>
          <a:spLocks noChangeAspect="1" noChangeArrowheads="1"/>
        </xdr:cNvSpPr>
      </xdr:nvSpPr>
      <xdr:spPr bwMode="auto">
        <a:xfrm>
          <a:off x="9687358"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24"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25"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26"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127"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128"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129"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130"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131"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42</xdr:row>
      <xdr:rowOff>129887</xdr:rowOff>
    </xdr:from>
    <xdr:ext cx="295275" cy="169011"/>
    <xdr:sp macro="" textlink="">
      <xdr:nvSpPr>
        <xdr:cNvPr id="7132"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33"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34"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35"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36"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37"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38" name="AutoShape 1" descr="http://myacademy/eltcms/pix/i/course.gif"/>
        <xdr:cNvSpPr>
          <a:spLocks noChangeAspect="1" noChangeArrowheads="1"/>
        </xdr:cNvSpPr>
      </xdr:nvSpPr>
      <xdr:spPr bwMode="auto">
        <a:xfrm>
          <a:off x="8507557" y="7219518"/>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62"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63"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64"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6965"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6966"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6967"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6968"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6969"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6970"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6971"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6972"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6973"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74"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75"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76"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6977"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697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697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6980"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6981"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6982"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6983"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6984"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6985"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6986"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6987"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6988"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698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699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699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92"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93"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94"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95"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96"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6997"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699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699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00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00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002"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003"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004"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005"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006"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007"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008"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009"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01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01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012"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013"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014"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3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40"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41"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42"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43"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44"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46</xdr:row>
      <xdr:rowOff>129887</xdr:rowOff>
    </xdr:from>
    <xdr:ext cx="295275" cy="169011"/>
    <xdr:sp macro="" textlink="">
      <xdr:nvSpPr>
        <xdr:cNvPr id="7145" name="AutoShape 1" descr="http://myacademy/eltcms/pix/i/course.gif"/>
        <xdr:cNvSpPr>
          <a:spLocks noChangeAspect="1" noChangeArrowheads="1"/>
        </xdr:cNvSpPr>
      </xdr:nvSpPr>
      <xdr:spPr bwMode="auto">
        <a:xfrm>
          <a:off x="8507557" y="7998836"/>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46"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47"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4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4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5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5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52"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53"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54"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55"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56"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57"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5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5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6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6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62"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63"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64"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65"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66"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67"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68"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69"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70"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71"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46</xdr:row>
      <xdr:rowOff>129887</xdr:rowOff>
    </xdr:from>
    <xdr:ext cx="295275" cy="169011"/>
    <xdr:sp macro="" textlink="">
      <xdr:nvSpPr>
        <xdr:cNvPr id="7172" name="AutoShape 1" descr="http://myacademy/eltcms/pix/i/course.gif"/>
        <xdr:cNvSpPr>
          <a:spLocks noChangeAspect="1" noChangeArrowheads="1"/>
        </xdr:cNvSpPr>
      </xdr:nvSpPr>
      <xdr:spPr bwMode="auto">
        <a:xfrm>
          <a:off x="9687358" y="7998836"/>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73"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74"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75"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76"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77"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78"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79"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80"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81"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82"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83"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84"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85"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86"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87"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88"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89"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190"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9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92"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93"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94"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95"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96"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97"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9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19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0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0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02"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03"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04"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05"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06"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07"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0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0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1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1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1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1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1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15"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16"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17"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1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1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2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2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2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2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2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2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2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27"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2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2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3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3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32"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3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3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3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3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3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3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3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4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4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42"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50</xdr:row>
      <xdr:rowOff>129887</xdr:rowOff>
    </xdr:from>
    <xdr:ext cx="295275" cy="169011"/>
    <xdr:sp macro="" textlink="">
      <xdr:nvSpPr>
        <xdr:cNvPr id="7243"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4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4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4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4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4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5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5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5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5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5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5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5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5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5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5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6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6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26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63"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64"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65"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66"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67"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68"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69"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70"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71"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72"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73"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74"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75"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76"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77"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78"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79"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80"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28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28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28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28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28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28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28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28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28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90"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91"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92"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93"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94"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95"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96"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97"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50</xdr:row>
      <xdr:rowOff>129887</xdr:rowOff>
    </xdr:from>
    <xdr:ext cx="295275" cy="169011"/>
    <xdr:sp macro="" textlink="">
      <xdr:nvSpPr>
        <xdr:cNvPr id="7298"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29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0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0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0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0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0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0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0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0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0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0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1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1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1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1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1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1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31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1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1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1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2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2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2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2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2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2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2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2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2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2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3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3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3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3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3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3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3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3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3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3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4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4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4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4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4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4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4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4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4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4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5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5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5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5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5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5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5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5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5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5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6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6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6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6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6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6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6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6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6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6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7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7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7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7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7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7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7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7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7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7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8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8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8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8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8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8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8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8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8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8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9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9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9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9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39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9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9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9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9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39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0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0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0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0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0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0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974148</xdr:colOff>
      <xdr:row>55</xdr:row>
      <xdr:rowOff>0</xdr:rowOff>
    </xdr:from>
    <xdr:ext cx="295275" cy="169011"/>
    <xdr:sp macro="" textlink="">
      <xdr:nvSpPr>
        <xdr:cNvPr id="7406" name="AutoShape 1" descr="http://myacademy/eltcms/pix/i/course.gif"/>
        <xdr:cNvSpPr>
          <a:spLocks noChangeAspect="1" noChangeArrowheads="1"/>
        </xdr:cNvSpPr>
      </xdr:nvSpPr>
      <xdr:spPr bwMode="auto">
        <a:xfrm>
          <a:off x="8518381" y="10077017"/>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0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0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0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1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1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1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1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1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1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1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1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1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1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2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2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2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2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2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25"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26"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27"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28"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29"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30"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31"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32"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33"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34"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35"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36"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37"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3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3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4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4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42"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43"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44"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45"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46"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47"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4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49"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50"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51"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52"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53"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54"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55"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56"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457"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5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5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6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6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6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6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46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46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46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46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46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46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47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47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47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7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7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7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76"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77"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7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7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8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8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8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8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8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8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8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8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88"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89"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9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9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92"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493"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9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9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9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9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9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49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500"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501"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502"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503"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504"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51</xdr:row>
      <xdr:rowOff>0</xdr:rowOff>
    </xdr:from>
    <xdr:ext cx="295275" cy="169011"/>
    <xdr:sp macro="" textlink="">
      <xdr:nvSpPr>
        <xdr:cNvPr id="7505" name="AutoShape 1" descr="http://myacademy/eltcms/pix/i/course.gif"/>
        <xdr:cNvSpPr>
          <a:spLocks noChangeAspect="1" noChangeArrowheads="1"/>
        </xdr:cNvSpPr>
      </xdr:nvSpPr>
      <xdr:spPr bwMode="auto">
        <a:xfrm>
          <a:off x="8507557" y="8778154"/>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0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0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0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0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1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1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1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1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1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1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1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1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1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1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2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2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2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2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524"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525"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526"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527"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528"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529"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530"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531"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532" name="AutoShape 1" descr="http://myacademy/eltcms/pix/i/course.gif"/>
        <xdr:cNvSpPr>
          <a:spLocks noChangeAspect="1" noChangeArrowheads="1"/>
        </xdr:cNvSpPr>
      </xdr:nvSpPr>
      <xdr:spPr bwMode="auto">
        <a:xfrm>
          <a:off x="9687358" y="8778154"/>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3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3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3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3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3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3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3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4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4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4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4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4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4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4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4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4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4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5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5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5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5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5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5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5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5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5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5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6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6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6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6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6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6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6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6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6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6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7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7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7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7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7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7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76"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77"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78"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79"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80"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81"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82"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83"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84"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585" name="AutoShape 1" descr="http://myacademy/eltcms/pix/i/course.gif"/>
        <xdr:cNvSpPr>
          <a:spLocks noChangeAspect="1" noChangeArrowheads="1"/>
        </xdr:cNvSpPr>
      </xdr:nvSpPr>
      <xdr:spPr bwMode="auto">
        <a:xfrm>
          <a:off x="8507557"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8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8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8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8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9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9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9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9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9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9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9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9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9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59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0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0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0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0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0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0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0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0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0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0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1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1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1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1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1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1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1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1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1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1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2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2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2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2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2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2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2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2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2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2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3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3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3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3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3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3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3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3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3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3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4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4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4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4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4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4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4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4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4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4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5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5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5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5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5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55"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56"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5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5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5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6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6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6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6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6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6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6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67"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68"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69"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70"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71"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72"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73"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51</xdr:row>
      <xdr:rowOff>0</xdr:rowOff>
    </xdr:from>
    <xdr:ext cx="295275" cy="169011"/>
    <xdr:sp macro="" textlink="">
      <xdr:nvSpPr>
        <xdr:cNvPr id="7674" name="AutoShape 1" descr="http://myacademy/eltcms/pix/i/course.gif"/>
        <xdr:cNvSpPr>
          <a:spLocks noChangeAspect="1" noChangeArrowheads="1"/>
        </xdr:cNvSpPr>
      </xdr:nvSpPr>
      <xdr:spPr bwMode="auto">
        <a:xfrm>
          <a:off x="9687358" y="9557472"/>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7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7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7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7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8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8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8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8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8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8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8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8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8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8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9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9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9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9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9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9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9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9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9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69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0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0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0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0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0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0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0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0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0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0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1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1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1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1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1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1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1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1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1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1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72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2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2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2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2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2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2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2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2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2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3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3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3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3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3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3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3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3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3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3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4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4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4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4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4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4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4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4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4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4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5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5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5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5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5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5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5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5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5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5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6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6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6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6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6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6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6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6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6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6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7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7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7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7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7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7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7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7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7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7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8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8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8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8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8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8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8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8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8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8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9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9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9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9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9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9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9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9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9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79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0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0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0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0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0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0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0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0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0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0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1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1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1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1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1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1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1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1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1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1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2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2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2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2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2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2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2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2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2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2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3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3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3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3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3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3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3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3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3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3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4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4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4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4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4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4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974148</xdr:colOff>
      <xdr:row>57</xdr:row>
      <xdr:rowOff>0</xdr:rowOff>
    </xdr:from>
    <xdr:ext cx="295275" cy="169011"/>
    <xdr:sp macro="" textlink="">
      <xdr:nvSpPr>
        <xdr:cNvPr id="7846" name="AutoShape 1" descr="http://myacademy/eltcms/pix/i/course.gif"/>
        <xdr:cNvSpPr>
          <a:spLocks noChangeAspect="1" noChangeArrowheads="1"/>
        </xdr:cNvSpPr>
      </xdr:nvSpPr>
      <xdr:spPr bwMode="auto">
        <a:xfrm>
          <a:off x="8518381" y="10856335"/>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4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4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4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5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5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5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5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5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5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5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5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5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5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6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6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6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6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6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6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6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6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6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6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7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7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7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7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7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7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7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7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7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7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8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8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8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8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8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8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8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8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8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89"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90"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9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9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9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89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9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9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9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9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89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0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01"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02"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0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0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0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0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0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0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0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1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1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1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13"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14"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15"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16"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17"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55</xdr:row>
      <xdr:rowOff>0</xdr:rowOff>
    </xdr:from>
    <xdr:ext cx="295275" cy="169011"/>
    <xdr:sp macro="" textlink="">
      <xdr:nvSpPr>
        <xdr:cNvPr id="7918" name="AutoShape 1" descr="http://myacademy/eltcms/pix/i/course.gif"/>
        <xdr:cNvSpPr>
          <a:spLocks noChangeAspect="1" noChangeArrowheads="1"/>
        </xdr:cNvSpPr>
      </xdr:nvSpPr>
      <xdr:spPr bwMode="auto">
        <a:xfrm>
          <a:off x="8507557" y="10336790"/>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1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2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2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2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2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2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2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2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2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2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2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3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3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3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3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3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3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3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3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3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3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4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4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4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4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4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4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4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4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4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4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5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5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5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5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5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5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5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5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5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5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6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6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6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6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6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6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6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6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6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6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7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57</xdr:row>
      <xdr:rowOff>0</xdr:rowOff>
    </xdr:from>
    <xdr:ext cx="295275" cy="169011"/>
    <xdr:sp macro="" textlink="">
      <xdr:nvSpPr>
        <xdr:cNvPr id="797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7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7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7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7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7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7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7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8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8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8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8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8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8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8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8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8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8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9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9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9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9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9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9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9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9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9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799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0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0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0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0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0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0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0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0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0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0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1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1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1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1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1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1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1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1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1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1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2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2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2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2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2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2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2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2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2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2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3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3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3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3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3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3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3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3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3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3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4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4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4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4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4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4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4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4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4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4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5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5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5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5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5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5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5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5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5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5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6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6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6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6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6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6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6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6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6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6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7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71"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72"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73"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74"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75"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76"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77"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78"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79"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4</xdr:col>
      <xdr:colOff>963324</xdr:colOff>
      <xdr:row>55</xdr:row>
      <xdr:rowOff>0</xdr:rowOff>
    </xdr:from>
    <xdr:ext cx="295275" cy="169011"/>
    <xdr:sp macro="" textlink="">
      <xdr:nvSpPr>
        <xdr:cNvPr id="8080" name="AutoShape 1" descr="http://myacademy/eltcms/pix/i/course.gif"/>
        <xdr:cNvSpPr>
          <a:spLocks noChangeAspect="1" noChangeArrowheads="1"/>
        </xdr:cNvSpPr>
      </xdr:nvSpPr>
      <xdr:spPr bwMode="auto">
        <a:xfrm>
          <a:off x="9687358" y="10336790"/>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8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8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8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8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8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8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8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8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9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9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9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9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9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9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9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9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9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09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0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0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0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0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0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0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0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0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0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0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1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1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1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1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1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1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1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1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1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1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2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2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2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2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2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2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2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2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2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2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3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3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3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3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3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3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3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3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3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3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4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4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4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4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4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4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4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4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4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4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5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5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5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5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5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5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5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5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5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5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6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6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6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6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6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6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6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6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6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6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7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7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7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7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7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7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7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7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7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7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18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8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8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8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8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8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8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8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8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8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9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9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9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9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9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9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9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9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9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19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0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0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0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0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0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0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0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0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0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0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1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1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1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1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1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1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1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1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1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1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2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2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2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2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2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2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2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2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2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2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3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3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3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3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3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3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3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3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3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3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4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4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4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4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4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4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4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4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4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4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5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5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5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5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5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5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5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5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5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5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6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6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6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6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6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6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6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6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6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6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7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7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7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7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7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7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7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7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7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7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8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8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8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8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8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8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8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8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8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8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9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9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9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9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9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9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29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9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9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29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0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0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0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0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0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0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0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0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0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0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1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1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1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1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1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1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1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1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1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1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2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2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2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2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2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2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2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2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2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2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3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3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3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3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3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3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3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3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3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3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4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4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4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4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4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4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4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4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4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4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5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5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5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5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5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5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5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5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5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5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6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6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6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6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6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6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6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6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6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6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7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7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7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7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7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7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7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7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7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7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8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8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8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8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8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8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8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8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8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8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9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9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9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9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9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9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9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9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9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39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0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0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0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0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0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0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0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0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0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0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1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1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1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1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1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1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1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1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1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1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2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2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2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2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2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2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2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2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2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29"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30"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31"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32"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33"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34"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35"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36"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37"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963324</xdr:colOff>
      <xdr:row>56</xdr:row>
      <xdr:rowOff>129887</xdr:rowOff>
    </xdr:from>
    <xdr:ext cx="295275" cy="169011"/>
    <xdr:sp macro="" textlink="">
      <xdr:nvSpPr>
        <xdr:cNvPr id="8438" name="AutoShape 1" descr="http://myacademy/eltcms/pix/i/course.gif"/>
        <xdr:cNvSpPr>
          <a:spLocks noChangeAspect="1" noChangeArrowheads="1"/>
        </xdr:cNvSpPr>
      </xdr:nvSpPr>
      <xdr:spPr bwMode="auto">
        <a:xfrm>
          <a:off x="8507557" y="11116109"/>
          <a:ext cx="295275" cy="169011"/>
        </a:xfrm>
        <a:prstGeom prst="rect">
          <a:avLst/>
        </a:prstGeom>
        <a:noFill/>
        <a:ln w="9525">
          <a:noFill/>
          <a:miter lim="800000"/>
          <a:headEnd/>
          <a:tailEnd/>
        </a:ln>
      </xdr:spPr>
    </xdr:sp>
    <xdr:clientData/>
  </xdr:oneCellAnchor>
  <xdr:oneCellAnchor>
    <xdr:from>
      <xdr:col>3</xdr:col>
      <xdr:colOff>995796</xdr:colOff>
      <xdr:row>59</xdr:row>
      <xdr:rowOff>0</xdr:rowOff>
    </xdr:from>
    <xdr:ext cx="295275" cy="169011"/>
    <xdr:sp macro="" textlink="">
      <xdr:nvSpPr>
        <xdr:cNvPr id="8439" name="AutoShape 1" descr="http://myacademy/eltcms/pix/i/course.gif"/>
        <xdr:cNvSpPr>
          <a:spLocks noChangeAspect="1" noChangeArrowheads="1"/>
        </xdr:cNvSpPr>
      </xdr:nvSpPr>
      <xdr:spPr bwMode="auto">
        <a:xfrm>
          <a:off x="8540029" y="12609801"/>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4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4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4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4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4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4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4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4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4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4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5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5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5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5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5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5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5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5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5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5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6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6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6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6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6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6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6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6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6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6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7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7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7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7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7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7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7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7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7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7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8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8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8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8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8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8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8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8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8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8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9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9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9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9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9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9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9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9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9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49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0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0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0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0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0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0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0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0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0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0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1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1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1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1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1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1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1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1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1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1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2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2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2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2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2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2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2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2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2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2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3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3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3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3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3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3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3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3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38"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39"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40"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41"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42"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43"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44"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45"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46"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4</xdr:col>
      <xdr:colOff>963324</xdr:colOff>
      <xdr:row>56</xdr:row>
      <xdr:rowOff>129887</xdr:rowOff>
    </xdr:from>
    <xdr:ext cx="295275" cy="169011"/>
    <xdr:sp macro="" textlink="">
      <xdr:nvSpPr>
        <xdr:cNvPr id="8547" name="AutoShape 1" descr="http://myacademy/eltcms/pix/i/course.gif"/>
        <xdr:cNvSpPr>
          <a:spLocks noChangeAspect="1" noChangeArrowheads="1"/>
        </xdr:cNvSpPr>
      </xdr:nvSpPr>
      <xdr:spPr bwMode="auto">
        <a:xfrm>
          <a:off x="9687358" y="11116109"/>
          <a:ext cx="295275" cy="169011"/>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48"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49" name="AutoShape 4"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50"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51"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52"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53" name="AutoShape 63"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54" name="AutoShape 40"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55" name="AutoShape 9"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56"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57" name="AutoShape 4"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58"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59"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60"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61" name="AutoShape 63"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62" name="AutoShape 40"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63" name="AutoShape 9"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64"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65" name="AutoShape 4"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66"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67"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68"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69" name="AutoShape 63"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70" name="AutoShape 40"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71" name="AutoShape 9"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72"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73" name="AutoShape 4"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74"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75"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76"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77" name="AutoShape 63"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78" name="AutoShape 40"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79" name="AutoShape 9"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80"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81" name="AutoShape 4"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82"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83"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84"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85" name="AutoShape 63"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86" name="AutoShape 40"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87" name="AutoShape 9"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88"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89" name="AutoShape 4"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90"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91"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27575"/>
    <xdr:sp macro="" textlink="">
      <xdr:nvSpPr>
        <xdr:cNvPr id="8592"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93" name="AutoShape 63"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94" name="AutoShape 40"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95" name="AutoShape 9"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96"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97" name="AutoShape 4"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98"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0</xdr:rowOff>
    </xdr:from>
    <xdr:ext cx="295275" cy="331303"/>
    <xdr:sp macro="" textlink="">
      <xdr:nvSpPr>
        <xdr:cNvPr id="8599"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34</xdr:row>
      <xdr:rowOff>173182</xdr:rowOff>
    </xdr:from>
    <xdr:ext cx="295275" cy="331303"/>
    <xdr:sp macro="" textlink="">
      <xdr:nvSpPr>
        <xdr:cNvPr id="8600" name="AutoShape 1" descr="http://myacademy/eltcms/pix/i/course.gif"/>
        <xdr:cNvSpPr>
          <a:spLocks noChangeAspect="1" noChangeArrowheads="1"/>
        </xdr:cNvSpPr>
      </xdr:nvSpPr>
      <xdr:spPr bwMode="auto">
        <a:xfrm>
          <a:off x="7544233" y="5704176"/>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01"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02" name="AutoShape 4"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03"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04"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05"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06" name="AutoShape 63"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07" name="AutoShape 40"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08" name="AutoShape 9"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09"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10" name="AutoShape 4"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11"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12"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13"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14" name="AutoShape 63"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15" name="AutoShape 40"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16" name="AutoShape 9"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17"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18" name="AutoShape 4"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19"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20"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21"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22" name="AutoShape 63"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23" name="AutoShape 40"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24" name="AutoShape 9"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25"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26" name="AutoShape 4"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27"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28"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29"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30" name="AutoShape 63"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31" name="AutoShape 40"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32" name="AutoShape 9"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33"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34" name="AutoShape 4"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35"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36"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37"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38" name="AutoShape 63"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39" name="AutoShape 40"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40" name="AutoShape 9"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41"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42" name="AutoShape 4"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43"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44"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27575"/>
    <xdr:sp macro="" textlink="">
      <xdr:nvSpPr>
        <xdr:cNvPr id="8645" name="AutoShape 1" descr="http://myacademy/eltcms/pix/i/course.gif"/>
        <xdr:cNvSpPr>
          <a:spLocks noChangeAspect="1" noChangeArrowheads="1"/>
        </xdr:cNvSpPr>
      </xdr:nvSpPr>
      <xdr:spPr bwMode="auto">
        <a:xfrm>
          <a:off x="7544233" y="5530994"/>
          <a:ext cx="295275" cy="327575"/>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46" name="AutoShape 63"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47" name="AutoShape 40"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48" name="AutoShape 9"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49"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50" name="AutoShape 4"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51"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0</xdr:rowOff>
    </xdr:from>
    <xdr:ext cx="295275" cy="331303"/>
    <xdr:sp macro="" textlink="">
      <xdr:nvSpPr>
        <xdr:cNvPr id="8652" name="AutoShape 1" descr="http://myacademy/eltcms/pix/i/course.gif"/>
        <xdr:cNvSpPr>
          <a:spLocks noChangeAspect="1" noChangeArrowheads="1"/>
        </xdr:cNvSpPr>
      </xdr:nvSpPr>
      <xdr:spPr bwMode="auto">
        <a:xfrm>
          <a:off x="7544233" y="5530994"/>
          <a:ext cx="295275" cy="331303"/>
        </a:xfrm>
        <a:prstGeom prst="rect">
          <a:avLst/>
        </a:prstGeom>
        <a:noFill/>
        <a:ln w="9525">
          <a:noFill/>
          <a:miter lim="800000"/>
          <a:headEnd/>
          <a:tailEnd/>
        </a:ln>
      </xdr:spPr>
    </xdr:sp>
    <xdr:clientData/>
  </xdr:oneCellAnchor>
  <xdr:oneCellAnchor>
    <xdr:from>
      <xdr:col>3</xdr:col>
      <xdr:colOff>0</xdr:colOff>
      <xdr:row>36</xdr:row>
      <xdr:rowOff>173182</xdr:rowOff>
    </xdr:from>
    <xdr:ext cx="295275" cy="331303"/>
    <xdr:sp macro="" textlink="">
      <xdr:nvSpPr>
        <xdr:cNvPr id="8653" name="AutoShape 1" descr="http://myacademy/eltcms/pix/i/course.gif"/>
        <xdr:cNvSpPr>
          <a:spLocks noChangeAspect="1" noChangeArrowheads="1"/>
        </xdr:cNvSpPr>
      </xdr:nvSpPr>
      <xdr:spPr bwMode="auto">
        <a:xfrm>
          <a:off x="7544233" y="5704176"/>
          <a:ext cx="295275" cy="331303"/>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5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5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5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5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5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5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6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6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6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6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6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6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6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6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6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6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7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7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7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7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7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7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7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7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7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7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8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8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8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8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8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8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8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8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8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8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9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9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9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9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9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9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9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9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9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69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0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0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0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0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0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0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0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0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0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0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1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1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1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1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1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1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1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1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1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1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2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2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2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2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2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2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2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2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28"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29"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30"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31"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32"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33"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34"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35"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36"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3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3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3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4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4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4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4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4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4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4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4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4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4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5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5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5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5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5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5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5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5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5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5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6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6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6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6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6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6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6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6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6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6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70"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71"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72"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73"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74"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75"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76"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77"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78"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79"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80"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81"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82"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83"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84"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85"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86"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787"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8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8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9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9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9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9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9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9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9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9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9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79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0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0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0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0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0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0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0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0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0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0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1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1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1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13"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14"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15"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16"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17"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18"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19"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20"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21"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3</xdr:col>
      <xdr:colOff>963324</xdr:colOff>
      <xdr:row>59</xdr:row>
      <xdr:rowOff>0</xdr:rowOff>
    </xdr:from>
    <xdr:ext cx="295275" cy="169011"/>
    <xdr:sp macro="" textlink="">
      <xdr:nvSpPr>
        <xdr:cNvPr id="8822" name="AutoShape 1" descr="http://myacademy/eltcms/pix/i/course.gif"/>
        <xdr:cNvSpPr>
          <a:spLocks noChangeAspect="1" noChangeArrowheads="1"/>
        </xdr:cNvSpPr>
      </xdr:nvSpPr>
      <xdr:spPr bwMode="auto">
        <a:xfrm>
          <a:off x="8507557"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23"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24"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25"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26"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27"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28"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29"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30"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31"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32"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33"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34"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35"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36"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37"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38"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39"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40"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41"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42"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43"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44"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45"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46"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47"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48"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oneCellAnchor>
    <xdr:from>
      <xdr:col>4</xdr:col>
      <xdr:colOff>963324</xdr:colOff>
      <xdr:row>59</xdr:row>
      <xdr:rowOff>0</xdr:rowOff>
    </xdr:from>
    <xdr:ext cx="295275" cy="169011"/>
    <xdr:sp macro="" textlink="">
      <xdr:nvSpPr>
        <xdr:cNvPr id="8849" name="AutoShape 1" descr="http://myacademy/eltcms/pix/i/course.gif"/>
        <xdr:cNvSpPr>
          <a:spLocks noChangeAspect="1" noChangeArrowheads="1"/>
        </xdr:cNvSpPr>
      </xdr:nvSpPr>
      <xdr:spPr bwMode="auto">
        <a:xfrm>
          <a:off x="9687358" y="10704802"/>
          <a:ext cx="295275" cy="169011"/>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xdr:row>
      <xdr:rowOff>0</xdr:rowOff>
    </xdr:from>
    <xdr:ext cx="295275" cy="28575"/>
    <xdr:sp macro="" textlink="">
      <xdr:nvSpPr>
        <xdr:cNvPr id="2" name="AutoShape 10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 name="AutoShape 40"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4" name="AutoShape 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5"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6" name="AutoShape 4"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7"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8"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9"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0" name="AutoShape 10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1" name="AutoShape 40"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2" name="AutoShape 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3"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4" name="AutoShape 4"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5"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6"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7"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8" name="AutoShape 10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9" name="AutoShape 40"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0" name="AutoShape 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1"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2" name="AutoShape 4"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3"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4"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5"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6" name="AutoShape 10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7" name="AutoShape 40"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8" name="AutoShape 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9"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0" name="AutoShape 4"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1"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2"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3"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4" name="AutoShape 10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5" name="AutoShape 40"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6" name="AutoShape 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7"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8" name="AutoShape 4"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9"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0"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1"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2" name="AutoShape 10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3" name="AutoShape 40"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4" name="AutoShape 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5"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6" name="AutoShape 4"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7"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8"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9"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0" name="AutoShape 10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1" name="AutoShape 40"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2" name="AutoShape 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3"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4" name="AutoShape 4"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5"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6"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7"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8" name="AutoShape 10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9" name="AutoShape 40"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0" name="AutoShape 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1"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2" name="AutoShape 4"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3"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4"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5"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6" name="AutoShape 10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7" name="AutoShape 40"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8" name="AutoShape 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9"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0" name="AutoShape 4"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1"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2"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3"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4" name="AutoShape 10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5" name="AutoShape 40"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6" name="AutoShape 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7"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8" name="AutoShape 4"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9"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0"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1"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2" name="AutoShape 10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3" name="AutoShape 40"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4" name="AutoShape 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5"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6" name="AutoShape 4"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7"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8"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9"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0" name="AutoShape 10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1" name="AutoShape 40"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2" name="AutoShape 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3"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4" name="AutoShape 4"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5"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6"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7"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halya%20E/Ahalya/HC_Projects/2012/CTS/WIP/Technical%20Skills/SMG/EPS%205_SMG_Skill%20Directory_CTS_011020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Divya-Jagadesh/Local%20Settings/Temporary%20Internet%20Files/OLKD/Technology%20Testing_CTS_Skill%20Directory_181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Office_Excel_Worksheet1.xlsx"/><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B15"/>
  <sheetViews>
    <sheetView workbookViewId="0">
      <selection activeCell="A8" sqref="A8"/>
    </sheetView>
  </sheetViews>
  <sheetFormatPr defaultRowHeight="15"/>
  <cols>
    <col min="1" max="1" width="67.28515625" customWidth="1"/>
    <col min="2" max="2" width="54.85546875" customWidth="1"/>
  </cols>
  <sheetData>
    <row r="1" spans="1:2" ht="24" thickBot="1">
      <c r="A1" s="98" t="s">
        <v>423</v>
      </c>
      <c r="B1" s="99"/>
    </row>
    <row r="2" spans="1:2">
      <c r="A2" s="76" t="s">
        <v>414</v>
      </c>
      <c r="B2" s="77" t="s">
        <v>428</v>
      </c>
    </row>
    <row r="3" spans="1:2">
      <c r="A3" s="78"/>
      <c r="B3" s="79"/>
    </row>
    <row r="4" spans="1:2">
      <c r="A4" s="78" t="s">
        <v>415</v>
      </c>
      <c r="B4" s="79" t="s">
        <v>416</v>
      </c>
    </row>
    <row r="5" spans="1:2">
      <c r="A5" s="78"/>
      <c r="B5" s="79"/>
    </row>
    <row r="6" spans="1:2" ht="30">
      <c r="A6" s="78" t="s">
        <v>417</v>
      </c>
      <c r="B6" s="80" t="s">
        <v>418</v>
      </c>
    </row>
    <row r="7" spans="1:2">
      <c r="A7" s="78"/>
      <c r="B7" s="79"/>
    </row>
    <row r="8" spans="1:2">
      <c r="A8" s="78" t="s">
        <v>419</v>
      </c>
      <c r="B8" s="80" t="s">
        <v>420</v>
      </c>
    </row>
    <row r="9" spans="1:2">
      <c r="A9" s="78"/>
      <c r="B9" s="79"/>
    </row>
    <row r="10" spans="1:2">
      <c r="A10" s="81" t="s">
        <v>421</v>
      </c>
      <c r="B10" s="100" t="s">
        <v>422</v>
      </c>
    </row>
    <row r="11" spans="1:2" ht="15.75" thickBot="1">
      <c r="A11" s="81"/>
      <c r="B11" s="101"/>
    </row>
    <row r="12" spans="1:2">
      <c r="A12" s="81" t="s">
        <v>427</v>
      </c>
      <c r="B12" s="100" t="s">
        <v>425</v>
      </c>
    </row>
    <row r="13" spans="1:2" ht="78.75" customHeight="1" thickBot="1">
      <c r="A13" s="81"/>
      <c r="B13" s="101"/>
    </row>
    <row r="14" spans="1:2">
      <c r="A14" s="81" t="s">
        <v>426</v>
      </c>
      <c r="B14" s="100"/>
    </row>
    <row r="15" spans="1:2" ht="86.25" customHeight="1" thickBot="1">
      <c r="A15" s="81"/>
      <c r="B15" s="101"/>
    </row>
  </sheetData>
  <mergeCells count="4">
    <mergeCell ref="A1:B1"/>
    <mergeCell ref="B10:B11"/>
    <mergeCell ref="B12:B13"/>
    <mergeCell ref="B14:B15"/>
  </mergeCells>
  <pageMargins left="0.7" right="0.7" top="0.75" bottom="0.75" header="0.3" footer="0.3"/>
  <pageSetup orientation="portrait" r:id="rId1"/>
  <legacyDrawing r:id="rId2"/>
  <oleObjects>
    <oleObject progId="Worksheet" dvAspect="DVASPECT_ICON" shapeId="11265" r:id="rId3"/>
  </oleObjects>
</worksheet>
</file>

<file path=xl/worksheets/sheet2.xml><?xml version="1.0" encoding="utf-8"?>
<worksheet xmlns="http://schemas.openxmlformats.org/spreadsheetml/2006/main" xmlns:r="http://schemas.openxmlformats.org/officeDocument/2006/relationships">
  <dimension ref="B4:E16"/>
  <sheetViews>
    <sheetView workbookViewId="0">
      <selection activeCell="B14" sqref="B14"/>
    </sheetView>
  </sheetViews>
  <sheetFormatPr defaultRowHeight="15"/>
  <cols>
    <col min="2" max="2" width="40.42578125" customWidth="1"/>
    <col min="3" max="3" width="18.7109375" customWidth="1"/>
    <col min="4" max="4" width="23.140625" customWidth="1"/>
    <col min="5" max="5" width="18.7109375" customWidth="1"/>
  </cols>
  <sheetData>
    <row r="4" spans="2:5">
      <c r="B4" s="103" t="s">
        <v>295</v>
      </c>
      <c r="C4" s="103"/>
      <c r="D4" s="103"/>
    </row>
    <row r="5" spans="2:5">
      <c r="B5" s="102" t="s">
        <v>298</v>
      </c>
      <c r="C5" s="53" t="s">
        <v>296</v>
      </c>
      <c r="D5" s="54" t="s">
        <v>297</v>
      </c>
    </row>
    <row r="6" spans="2:5">
      <c r="B6" s="102"/>
      <c r="C6" s="44" t="s">
        <v>10</v>
      </c>
      <c r="D6" s="44">
        <f>ModuleList!H2/40</f>
        <v>3.0962499999999999</v>
      </c>
      <c r="E6">
        <v>3</v>
      </c>
    </row>
    <row r="7" spans="2:5">
      <c r="B7" s="102"/>
      <c r="C7" s="44" t="s">
        <v>1</v>
      </c>
      <c r="D7" s="44">
        <f>ModuleList!H16/40</f>
        <v>2.9750000000000001</v>
      </c>
      <c r="E7">
        <v>3</v>
      </c>
    </row>
    <row r="8" spans="2:5">
      <c r="B8" s="102"/>
      <c r="C8" s="44" t="s">
        <v>168</v>
      </c>
      <c r="D8" s="44">
        <f>SUM(ModuleList!H30:H47)/40</f>
        <v>3.3</v>
      </c>
      <c r="E8">
        <v>3.5</v>
      </c>
    </row>
    <row r="9" spans="2:5">
      <c r="B9" s="102"/>
      <c r="C9" s="44" t="s">
        <v>286</v>
      </c>
      <c r="D9" s="44">
        <f>SUM(ModuleList!H48:H59)/40</f>
        <v>4.5999999999999996</v>
      </c>
      <c r="E9">
        <v>3.5</v>
      </c>
    </row>
    <row r="10" spans="2:5">
      <c r="B10" s="102"/>
      <c r="C10" s="44" t="s">
        <v>167</v>
      </c>
      <c r="D10" s="44">
        <f>ModuleList!H60/40</f>
        <v>2.4</v>
      </c>
      <c r="E10">
        <v>2.5</v>
      </c>
    </row>
    <row r="11" spans="2:5">
      <c r="B11" s="45" t="s">
        <v>7</v>
      </c>
      <c r="C11" s="44" t="s">
        <v>410</v>
      </c>
      <c r="D11" s="44">
        <f>ModuleList!H63/40</f>
        <v>0.6</v>
      </c>
      <c r="E11">
        <v>0.6</v>
      </c>
    </row>
    <row r="12" spans="2:5">
      <c r="B12" s="45" t="s">
        <v>413</v>
      </c>
      <c r="C12" s="44" t="s">
        <v>411</v>
      </c>
      <c r="D12" s="44">
        <f>ModuleList!H86/40</f>
        <v>2.2625000000000002</v>
      </c>
      <c r="E12">
        <v>2</v>
      </c>
    </row>
    <row r="13" spans="2:5">
      <c r="B13" s="104" t="s">
        <v>412</v>
      </c>
      <c r="C13" s="104"/>
      <c r="D13" s="53">
        <f>SUM(D6:D11)</f>
        <v>16.971250000000001</v>
      </c>
    </row>
    <row r="14" spans="2:5">
      <c r="B14" s="44"/>
      <c r="C14" s="44"/>
      <c r="D14" s="44"/>
    </row>
    <row r="15" spans="2:5">
      <c r="B15" s="45" t="s">
        <v>299</v>
      </c>
      <c r="C15" s="44"/>
      <c r="D15" s="44">
        <v>1.5</v>
      </c>
    </row>
    <row r="16" spans="2:5">
      <c r="B16" s="104" t="s">
        <v>300</v>
      </c>
      <c r="C16" s="104"/>
      <c r="D16" s="53">
        <f>SUM(D13,D15)</f>
        <v>18.471250000000001</v>
      </c>
    </row>
  </sheetData>
  <mergeCells count="4">
    <mergeCell ref="B5:B10"/>
    <mergeCell ref="B4:D4"/>
    <mergeCell ref="B13:C13"/>
    <mergeCell ref="B16:C16"/>
  </mergeCell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dimension ref="A1:H94"/>
  <sheetViews>
    <sheetView topLeftCell="B33" zoomScale="88" zoomScaleNormal="88" workbookViewId="0">
      <selection activeCell="B52" sqref="B52:B55"/>
    </sheetView>
  </sheetViews>
  <sheetFormatPr defaultColWidth="15.85546875" defaultRowHeight="12.75"/>
  <cols>
    <col min="1" max="1" width="24.42578125" style="6" bestFit="1" customWidth="1"/>
    <col min="2" max="2" width="35.140625" style="6" bestFit="1" customWidth="1"/>
    <col min="3" max="3" width="53.7109375" style="6" bestFit="1" customWidth="1"/>
    <col min="4" max="4" width="17.7109375" style="6" bestFit="1" customWidth="1"/>
    <col min="5" max="5" width="16.42578125" style="50" bestFit="1" customWidth="1"/>
    <col min="6" max="6" width="18.7109375" style="6" bestFit="1" customWidth="1"/>
    <col min="7" max="7" width="19.140625" style="6" bestFit="1" customWidth="1"/>
    <col min="8" max="8" width="15.85546875" style="9" customWidth="1"/>
    <col min="9" max="16384" width="15.85546875" style="49"/>
  </cols>
  <sheetData>
    <row r="1" spans="1:8" ht="24.75" customHeight="1">
      <c r="A1" s="3" t="s">
        <v>26</v>
      </c>
      <c r="B1" s="3" t="s">
        <v>27</v>
      </c>
      <c r="C1" s="3" t="s">
        <v>25</v>
      </c>
      <c r="D1" s="3" t="s">
        <v>24</v>
      </c>
      <c r="E1" s="3" t="s">
        <v>23</v>
      </c>
      <c r="F1" s="3" t="s">
        <v>22</v>
      </c>
      <c r="G1" s="3" t="s">
        <v>21</v>
      </c>
      <c r="H1" s="3" t="s">
        <v>33</v>
      </c>
    </row>
    <row r="2" spans="1:8" ht="15" customHeight="1">
      <c r="A2" s="109" t="s">
        <v>293</v>
      </c>
      <c r="B2" s="109" t="s">
        <v>19</v>
      </c>
      <c r="C2" s="27" t="s">
        <v>77</v>
      </c>
      <c r="D2" s="27" t="s">
        <v>48</v>
      </c>
      <c r="E2" s="27">
        <v>11.5</v>
      </c>
      <c r="F2" s="27" t="s">
        <v>2</v>
      </c>
      <c r="G2" s="27"/>
      <c r="H2" s="115">
        <f>SUM(E2:E15)</f>
        <v>123.85</v>
      </c>
    </row>
    <row r="3" spans="1:8" ht="15" customHeight="1">
      <c r="A3" s="110"/>
      <c r="B3" s="110"/>
      <c r="C3" s="27" t="s">
        <v>50</v>
      </c>
      <c r="D3" s="27" t="s">
        <v>49</v>
      </c>
      <c r="E3" s="27">
        <v>8</v>
      </c>
      <c r="F3" s="27"/>
      <c r="G3" s="27"/>
      <c r="H3" s="116"/>
    </row>
    <row r="4" spans="1:8" ht="15" customHeight="1">
      <c r="A4" s="110"/>
      <c r="B4" s="110"/>
      <c r="C4" s="27" t="s">
        <v>46</v>
      </c>
      <c r="D4" s="27" t="s">
        <v>49</v>
      </c>
      <c r="E4" s="27">
        <v>4</v>
      </c>
      <c r="F4" s="27"/>
      <c r="G4" s="27"/>
      <c r="H4" s="116"/>
    </row>
    <row r="5" spans="1:8" ht="15" customHeight="1">
      <c r="A5" s="110"/>
      <c r="B5" s="111"/>
      <c r="C5" s="27" t="s">
        <v>44</v>
      </c>
      <c r="D5" s="27" t="s">
        <v>49</v>
      </c>
      <c r="E5" s="27">
        <v>4</v>
      </c>
      <c r="F5" s="27"/>
      <c r="G5" s="27" t="s">
        <v>2</v>
      </c>
      <c r="H5" s="116"/>
    </row>
    <row r="6" spans="1:8" ht="15" customHeight="1">
      <c r="A6" s="110"/>
      <c r="B6" s="109" t="s">
        <v>20</v>
      </c>
      <c r="C6" s="27" t="s">
        <v>42</v>
      </c>
      <c r="D6" s="27" t="s">
        <v>48</v>
      </c>
      <c r="E6" s="27">
        <v>8</v>
      </c>
      <c r="F6" s="27" t="s">
        <v>2</v>
      </c>
      <c r="G6" s="27"/>
      <c r="H6" s="116"/>
    </row>
    <row r="7" spans="1:8" ht="15" customHeight="1">
      <c r="A7" s="110"/>
      <c r="B7" s="110"/>
      <c r="C7" s="27" t="s">
        <v>51</v>
      </c>
      <c r="D7" s="27" t="s">
        <v>49</v>
      </c>
      <c r="E7" s="27">
        <v>8</v>
      </c>
      <c r="F7" s="27"/>
      <c r="G7" s="27"/>
      <c r="H7" s="116"/>
    </row>
    <row r="8" spans="1:8" ht="15" customHeight="1">
      <c r="A8" s="110"/>
      <c r="B8" s="110"/>
      <c r="C8" s="27" t="s">
        <v>46</v>
      </c>
      <c r="D8" s="27" t="s">
        <v>49</v>
      </c>
      <c r="E8" s="27">
        <v>4</v>
      </c>
      <c r="F8" s="27"/>
      <c r="G8" s="27" t="s">
        <v>2</v>
      </c>
      <c r="H8" s="116"/>
    </row>
    <row r="9" spans="1:8" ht="15" customHeight="1">
      <c r="A9" s="110"/>
      <c r="B9" s="110"/>
      <c r="C9" s="27" t="s">
        <v>47</v>
      </c>
      <c r="D9" s="27" t="s">
        <v>49</v>
      </c>
      <c r="E9" s="27">
        <v>4</v>
      </c>
      <c r="F9" s="27"/>
      <c r="G9" s="27"/>
      <c r="H9" s="116"/>
    </row>
    <row r="10" spans="1:8" ht="15" customHeight="1">
      <c r="A10" s="110"/>
      <c r="B10" s="110"/>
      <c r="C10" s="27" t="s">
        <v>73</v>
      </c>
      <c r="D10" s="27" t="s">
        <v>48</v>
      </c>
      <c r="E10" s="27">
        <v>12.35</v>
      </c>
      <c r="F10" s="27" t="s">
        <v>2</v>
      </c>
      <c r="G10" s="27"/>
      <c r="H10" s="116"/>
    </row>
    <row r="11" spans="1:8" ht="15" customHeight="1">
      <c r="A11" s="110"/>
      <c r="B11" s="110"/>
      <c r="C11" s="27" t="s">
        <v>74</v>
      </c>
      <c r="D11" s="27" t="s">
        <v>49</v>
      </c>
      <c r="E11" s="27">
        <v>40</v>
      </c>
      <c r="F11" s="27"/>
      <c r="G11" s="27"/>
      <c r="H11" s="116"/>
    </row>
    <row r="12" spans="1:8" ht="15" customHeight="1">
      <c r="A12" s="110"/>
      <c r="B12" s="110"/>
      <c r="C12" s="27" t="s">
        <v>46</v>
      </c>
      <c r="D12" s="27" t="s">
        <v>49</v>
      </c>
      <c r="E12" s="27">
        <v>8</v>
      </c>
      <c r="F12" s="27"/>
      <c r="G12" s="27"/>
      <c r="H12" s="116"/>
    </row>
    <row r="13" spans="1:8" ht="15" customHeight="1">
      <c r="A13" s="110"/>
      <c r="B13" s="111"/>
      <c r="C13" s="27" t="s">
        <v>75</v>
      </c>
      <c r="D13" s="27" t="s">
        <v>49</v>
      </c>
      <c r="E13" s="27">
        <v>4</v>
      </c>
      <c r="F13" s="27"/>
      <c r="G13" s="27" t="s">
        <v>2</v>
      </c>
      <c r="H13" s="116"/>
    </row>
    <row r="14" spans="1:8" ht="15" customHeight="1">
      <c r="A14" s="110"/>
      <c r="B14" s="109" t="s">
        <v>45</v>
      </c>
      <c r="C14" s="27" t="s">
        <v>78</v>
      </c>
      <c r="D14" s="27" t="s">
        <v>49</v>
      </c>
      <c r="E14" s="27">
        <v>4</v>
      </c>
      <c r="F14" s="27"/>
      <c r="G14" s="27" t="s">
        <v>2</v>
      </c>
      <c r="H14" s="116"/>
    </row>
    <row r="15" spans="1:8" ht="15" customHeight="1">
      <c r="A15" s="111"/>
      <c r="B15" s="111"/>
      <c r="C15" s="82" t="s">
        <v>76</v>
      </c>
      <c r="D15" s="82" t="s">
        <v>83</v>
      </c>
      <c r="E15" s="82">
        <v>4</v>
      </c>
      <c r="F15" s="82"/>
      <c r="G15" s="82"/>
      <c r="H15" s="117"/>
    </row>
    <row r="16" spans="1:8" ht="15" customHeight="1">
      <c r="A16" s="112" t="s">
        <v>292</v>
      </c>
      <c r="B16" s="112" t="s">
        <v>79</v>
      </c>
      <c r="C16" s="26" t="s">
        <v>79</v>
      </c>
      <c r="D16" s="27" t="s">
        <v>48</v>
      </c>
      <c r="E16" s="26">
        <v>7</v>
      </c>
      <c r="F16" s="26" t="s">
        <v>2</v>
      </c>
      <c r="G16" s="26"/>
      <c r="H16" s="115">
        <f>SUM(E16:E29)</f>
        <v>119</v>
      </c>
    </row>
    <row r="17" spans="1:8" ht="15" customHeight="1">
      <c r="A17" s="113"/>
      <c r="B17" s="113"/>
      <c r="C17" s="26" t="s">
        <v>80</v>
      </c>
      <c r="D17" s="27" t="s">
        <v>49</v>
      </c>
      <c r="E17" s="26">
        <v>16</v>
      </c>
      <c r="F17" s="26"/>
      <c r="G17" s="26"/>
      <c r="H17" s="116"/>
    </row>
    <row r="18" spans="1:8" ht="15" customHeight="1">
      <c r="A18" s="113"/>
      <c r="B18" s="113"/>
      <c r="C18" s="26" t="s">
        <v>46</v>
      </c>
      <c r="D18" s="27" t="s">
        <v>49</v>
      </c>
      <c r="E18" s="26">
        <v>8</v>
      </c>
      <c r="F18" s="26"/>
      <c r="G18" s="26"/>
      <c r="H18" s="116"/>
    </row>
    <row r="19" spans="1:8" ht="15" customHeight="1">
      <c r="A19" s="113"/>
      <c r="B19" s="113"/>
      <c r="C19" s="26" t="s">
        <v>81</v>
      </c>
      <c r="D19" s="27" t="s">
        <v>49</v>
      </c>
      <c r="E19" s="26">
        <v>4</v>
      </c>
      <c r="F19" s="26"/>
      <c r="G19" s="26" t="s">
        <v>2</v>
      </c>
      <c r="H19" s="116"/>
    </row>
    <row r="20" spans="1:8" ht="15" customHeight="1">
      <c r="A20" s="113"/>
      <c r="B20" s="114"/>
      <c r="C20" s="26" t="s">
        <v>72</v>
      </c>
      <c r="D20" s="27" t="s">
        <v>48</v>
      </c>
      <c r="E20" s="26">
        <v>2</v>
      </c>
      <c r="F20" s="26"/>
      <c r="G20" s="26"/>
      <c r="H20" s="116"/>
    </row>
    <row r="21" spans="1:8" ht="14.25" customHeight="1">
      <c r="A21" s="113"/>
      <c r="B21" s="112" t="s">
        <v>82</v>
      </c>
      <c r="C21" s="26" t="s">
        <v>464</v>
      </c>
      <c r="D21" s="27" t="s">
        <v>48</v>
      </c>
      <c r="E21" s="26">
        <v>4</v>
      </c>
      <c r="F21" s="26" t="s">
        <v>2</v>
      </c>
      <c r="G21" s="26"/>
      <c r="H21" s="116"/>
    </row>
    <row r="22" spans="1:8" ht="41.25" customHeight="1">
      <c r="A22" s="113"/>
      <c r="B22" s="113"/>
      <c r="C22" s="26" t="s">
        <v>465</v>
      </c>
      <c r="D22" s="27" t="s">
        <v>49</v>
      </c>
      <c r="E22" s="26">
        <v>16</v>
      </c>
      <c r="F22" s="26"/>
      <c r="G22" s="26"/>
      <c r="H22" s="116"/>
    </row>
    <row r="23" spans="1:8" ht="48.75" customHeight="1">
      <c r="A23" s="113"/>
      <c r="B23" s="114"/>
      <c r="C23" s="26" t="s">
        <v>466</v>
      </c>
      <c r="D23" s="27" t="s">
        <v>83</v>
      </c>
      <c r="E23" s="26">
        <v>4</v>
      </c>
      <c r="F23" s="26"/>
      <c r="G23" s="26" t="s">
        <v>2</v>
      </c>
      <c r="H23" s="116"/>
    </row>
    <row r="24" spans="1:8" ht="14.25" customHeight="1">
      <c r="A24" s="113"/>
      <c r="B24" s="112" t="s">
        <v>84</v>
      </c>
      <c r="C24" s="26" t="s">
        <v>84</v>
      </c>
      <c r="D24" s="27" t="s">
        <v>48</v>
      </c>
      <c r="E24" s="26">
        <v>10</v>
      </c>
      <c r="F24" s="26" t="s">
        <v>2</v>
      </c>
      <c r="G24" s="26"/>
      <c r="H24" s="116"/>
    </row>
    <row r="25" spans="1:8" ht="14.25" customHeight="1">
      <c r="A25" s="113"/>
      <c r="B25" s="113"/>
      <c r="C25" s="26" t="s">
        <v>85</v>
      </c>
      <c r="D25" s="27" t="s">
        <v>49</v>
      </c>
      <c r="E25" s="26">
        <v>24</v>
      </c>
      <c r="F25" s="26"/>
      <c r="G25" s="26"/>
      <c r="H25" s="116"/>
    </row>
    <row r="26" spans="1:8" ht="15" customHeight="1">
      <c r="A26" s="113"/>
      <c r="B26" s="113"/>
      <c r="C26" s="26" t="s">
        <v>46</v>
      </c>
      <c r="D26" s="27" t="s">
        <v>49</v>
      </c>
      <c r="E26" s="26">
        <v>8</v>
      </c>
      <c r="F26" s="26"/>
      <c r="G26" s="26"/>
      <c r="H26" s="116"/>
    </row>
    <row r="27" spans="1:8" ht="15" customHeight="1">
      <c r="A27" s="113"/>
      <c r="B27" s="114"/>
      <c r="C27" s="26" t="s">
        <v>86</v>
      </c>
      <c r="D27" s="27" t="s">
        <v>49</v>
      </c>
      <c r="E27" s="26">
        <v>4</v>
      </c>
      <c r="F27" s="26"/>
      <c r="G27" s="26" t="s">
        <v>2</v>
      </c>
      <c r="H27" s="116"/>
    </row>
    <row r="28" spans="1:8" ht="15" customHeight="1">
      <c r="A28" s="113"/>
      <c r="B28" s="112" t="s">
        <v>45</v>
      </c>
      <c r="C28" s="26" t="s">
        <v>87</v>
      </c>
      <c r="D28" s="27" t="s">
        <v>49</v>
      </c>
      <c r="E28" s="26">
        <v>8</v>
      </c>
      <c r="F28" s="26"/>
      <c r="G28" s="26"/>
      <c r="H28" s="116"/>
    </row>
    <row r="29" spans="1:8" ht="15" customHeight="1">
      <c r="A29" s="114"/>
      <c r="B29" s="114"/>
      <c r="C29" s="82" t="s">
        <v>45</v>
      </c>
      <c r="D29" s="82" t="s">
        <v>83</v>
      </c>
      <c r="E29" s="82">
        <v>4</v>
      </c>
      <c r="F29" s="82"/>
      <c r="G29" s="82" t="s">
        <v>2</v>
      </c>
      <c r="H29" s="117"/>
    </row>
    <row r="30" spans="1:8" ht="15" customHeight="1">
      <c r="A30" s="105" t="s">
        <v>291</v>
      </c>
      <c r="B30" s="105" t="s">
        <v>169</v>
      </c>
      <c r="C30" s="33" t="s">
        <v>169</v>
      </c>
      <c r="D30" s="34" t="s">
        <v>0</v>
      </c>
      <c r="E30" s="34">
        <v>8</v>
      </c>
      <c r="F30" s="34" t="s">
        <v>2</v>
      </c>
      <c r="G30" s="34"/>
      <c r="H30" s="119">
        <f>SUM(E30:E31)</f>
        <v>16</v>
      </c>
    </row>
    <row r="31" spans="1:8" ht="15" customHeight="1">
      <c r="A31" s="106"/>
      <c r="B31" s="108"/>
      <c r="C31" s="33" t="s">
        <v>170</v>
      </c>
      <c r="D31" s="34" t="s">
        <v>49</v>
      </c>
      <c r="E31" s="34">
        <v>8</v>
      </c>
      <c r="F31" s="34" t="s">
        <v>2</v>
      </c>
      <c r="G31" s="34"/>
      <c r="H31" s="119"/>
    </row>
    <row r="32" spans="1:8" ht="15" customHeight="1">
      <c r="A32" s="106"/>
      <c r="B32" s="105" t="s">
        <v>453</v>
      </c>
      <c r="C32" s="33" t="s">
        <v>454</v>
      </c>
      <c r="D32" s="33" t="s">
        <v>0</v>
      </c>
      <c r="E32" s="33">
        <v>8</v>
      </c>
      <c r="F32" s="34" t="s">
        <v>2</v>
      </c>
      <c r="G32" s="34"/>
      <c r="H32" s="119">
        <f>SUM(E32:E35)</f>
        <v>32</v>
      </c>
    </row>
    <row r="33" spans="1:8" ht="15" customHeight="1">
      <c r="A33" s="106"/>
      <c r="B33" s="106"/>
      <c r="C33" s="33" t="s">
        <v>455</v>
      </c>
      <c r="D33" s="33" t="s">
        <v>49</v>
      </c>
      <c r="E33" s="33">
        <v>8</v>
      </c>
      <c r="F33" s="34" t="s">
        <v>2</v>
      </c>
      <c r="G33" s="34"/>
      <c r="H33" s="119"/>
    </row>
    <row r="34" spans="1:8" ht="15" customHeight="1">
      <c r="A34" s="106"/>
      <c r="B34" s="106"/>
      <c r="C34" s="33" t="s">
        <v>456</v>
      </c>
      <c r="D34" s="33" t="s">
        <v>83</v>
      </c>
      <c r="E34" s="33">
        <v>8</v>
      </c>
      <c r="F34" s="34"/>
      <c r="G34" s="34" t="s">
        <v>2</v>
      </c>
      <c r="H34" s="119"/>
    </row>
    <row r="35" spans="1:8" ht="15" customHeight="1">
      <c r="A35" s="106"/>
      <c r="B35" s="108"/>
      <c r="C35" s="82" t="s">
        <v>457</v>
      </c>
      <c r="D35" s="82" t="s">
        <v>83</v>
      </c>
      <c r="E35" s="82">
        <v>8</v>
      </c>
      <c r="F35" s="82"/>
      <c r="G35" s="82" t="s">
        <v>2</v>
      </c>
      <c r="H35" s="119"/>
    </row>
    <row r="36" spans="1:8" ht="15" customHeight="1">
      <c r="A36" s="106"/>
      <c r="B36" s="105" t="s">
        <v>449</v>
      </c>
      <c r="C36" s="33" t="s">
        <v>450</v>
      </c>
      <c r="D36" s="86" t="s">
        <v>0</v>
      </c>
      <c r="E36" s="33">
        <v>6</v>
      </c>
      <c r="F36" s="33" t="s">
        <v>2</v>
      </c>
      <c r="G36" s="33"/>
      <c r="H36" s="115">
        <f>SUM(E36:E39)</f>
        <v>20</v>
      </c>
    </row>
    <row r="37" spans="1:8" ht="15" customHeight="1">
      <c r="A37" s="106"/>
      <c r="B37" s="106"/>
      <c r="C37" s="33" t="s">
        <v>49</v>
      </c>
      <c r="D37" s="86" t="s">
        <v>49</v>
      </c>
      <c r="E37" s="33">
        <v>6</v>
      </c>
      <c r="F37" s="33" t="s">
        <v>2</v>
      </c>
      <c r="G37" s="33"/>
      <c r="H37" s="116"/>
    </row>
    <row r="38" spans="1:8" ht="15" customHeight="1">
      <c r="A38" s="106"/>
      <c r="B38" s="106"/>
      <c r="C38" s="33" t="s">
        <v>451</v>
      </c>
      <c r="D38" s="86" t="s">
        <v>0</v>
      </c>
      <c r="E38" s="33">
        <v>2</v>
      </c>
      <c r="F38" s="33" t="s">
        <v>2</v>
      </c>
      <c r="G38" s="33"/>
      <c r="H38" s="116"/>
    </row>
    <row r="39" spans="1:8" ht="15" customHeight="1">
      <c r="A39" s="106"/>
      <c r="B39" s="108"/>
      <c r="C39" s="33" t="s">
        <v>49</v>
      </c>
      <c r="D39" s="86" t="s">
        <v>49</v>
      </c>
      <c r="E39" s="33">
        <v>6</v>
      </c>
      <c r="F39" s="33" t="s">
        <v>2</v>
      </c>
      <c r="G39" s="33"/>
      <c r="H39" s="117"/>
    </row>
    <row r="40" spans="1:8" ht="15" customHeight="1">
      <c r="A40" s="106"/>
      <c r="B40" s="122" t="s">
        <v>172</v>
      </c>
      <c r="C40" s="33" t="s">
        <v>174</v>
      </c>
      <c r="D40" s="33" t="s">
        <v>0</v>
      </c>
      <c r="E40" s="33">
        <v>8</v>
      </c>
      <c r="F40" s="34" t="s">
        <v>2</v>
      </c>
      <c r="G40" s="34"/>
      <c r="H40" s="119">
        <f>SUM(E40:E43)</f>
        <v>32</v>
      </c>
    </row>
    <row r="41" spans="1:8" ht="15" customHeight="1">
      <c r="A41" s="106"/>
      <c r="B41" s="122"/>
      <c r="C41" s="33" t="s">
        <v>175</v>
      </c>
      <c r="D41" s="33" t="s">
        <v>49</v>
      </c>
      <c r="E41" s="33">
        <v>8</v>
      </c>
      <c r="F41" s="34" t="s">
        <v>2</v>
      </c>
      <c r="G41" s="34"/>
      <c r="H41" s="119"/>
    </row>
    <row r="42" spans="1:8" ht="15" customHeight="1">
      <c r="A42" s="106"/>
      <c r="B42" s="122"/>
      <c r="C42" s="33" t="s">
        <v>176</v>
      </c>
      <c r="D42" s="33" t="s">
        <v>83</v>
      </c>
      <c r="E42" s="33">
        <v>8</v>
      </c>
      <c r="F42" s="34"/>
      <c r="G42" s="34" t="s">
        <v>2</v>
      </c>
      <c r="H42" s="119"/>
    </row>
    <row r="43" spans="1:8" ht="15" customHeight="1">
      <c r="A43" s="106"/>
      <c r="B43" s="122"/>
      <c r="C43" s="82" t="s">
        <v>177</v>
      </c>
      <c r="D43" s="82" t="s">
        <v>83</v>
      </c>
      <c r="E43" s="82">
        <v>8</v>
      </c>
      <c r="F43" s="82"/>
      <c r="G43" s="82" t="s">
        <v>2</v>
      </c>
      <c r="H43" s="119"/>
    </row>
    <row r="44" spans="1:8" ht="15" customHeight="1">
      <c r="A44" s="106"/>
      <c r="B44" s="105" t="s">
        <v>173</v>
      </c>
      <c r="C44" s="33" t="s">
        <v>468</v>
      </c>
      <c r="D44" s="33" t="s">
        <v>0</v>
      </c>
      <c r="E44" s="33">
        <v>8</v>
      </c>
      <c r="F44" s="34" t="s">
        <v>2</v>
      </c>
      <c r="G44" s="34"/>
      <c r="H44" s="119">
        <f>SUM(E44:E47)</f>
        <v>32</v>
      </c>
    </row>
    <row r="45" spans="1:8" ht="15" customHeight="1">
      <c r="A45" s="106"/>
      <c r="B45" s="106"/>
      <c r="C45" s="33" t="s">
        <v>469</v>
      </c>
      <c r="D45" s="33" t="s">
        <v>49</v>
      </c>
      <c r="E45" s="33">
        <v>16</v>
      </c>
      <c r="F45" s="34" t="s">
        <v>2</v>
      </c>
      <c r="G45" s="34"/>
      <c r="H45" s="119"/>
    </row>
    <row r="46" spans="1:8" ht="15" customHeight="1">
      <c r="A46" s="106"/>
      <c r="B46" s="106"/>
      <c r="C46" s="33" t="s">
        <v>171</v>
      </c>
      <c r="D46" s="33" t="s">
        <v>83</v>
      </c>
      <c r="E46" s="33">
        <v>4</v>
      </c>
      <c r="F46" s="34"/>
      <c r="G46" s="34" t="s">
        <v>2</v>
      </c>
      <c r="H46" s="119"/>
    </row>
    <row r="47" spans="1:8" ht="15" customHeight="1">
      <c r="A47" s="106"/>
      <c r="B47" s="108"/>
      <c r="C47" s="82" t="s">
        <v>467</v>
      </c>
      <c r="D47" s="82" t="s">
        <v>83</v>
      </c>
      <c r="E47" s="82">
        <v>4</v>
      </c>
      <c r="F47" s="82"/>
      <c r="G47" s="82" t="s">
        <v>2</v>
      </c>
      <c r="H47" s="119"/>
    </row>
    <row r="48" spans="1:8" ht="15" customHeight="1">
      <c r="A48" s="107" t="s">
        <v>294</v>
      </c>
      <c r="B48" s="107" t="s">
        <v>251</v>
      </c>
      <c r="C48" s="51" t="s">
        <v>452</v>
      </c>
      <c r="D48" s="51" t="s">
        <v>0</v>
      </c>
      <c r="E48" s="51">
        <v>12</v>
      </c>
      <c r="F48" s="52" t="s">
        <v>2</v>
      </c>
      <c r="G48" s="52"/>
      <c r="H48" s="123">
        <f>SUM(E48:E51)</f>
        <v>48</v>
      </c>
    </row>
    <row r="49" spans="1:8" ht="15" customHeight="1">
      <c r="A49" s="107"/>
      <c r="B49" s="107"/>
      <c r="C49" s="51" t="s">
        <v>288</v>
      </c>
      <c r="D49" s="51" t="s">
        <v>49</v>
      </c>
      <c r="E49" s="51">
        <v>12</v>
      </c>
      <c r="F49" s="52" t="s">
        <v>2</v>
      </c>
      <c r="G49" s="52"/>
      <c r="H49" s="123"/>
    </row>
    <row r="50" spans="1:8" ht="15" customHeight="1">
      <c r="A50" s="107"/>
      <c r="B50" s="107"/>
      <c r="C50" s="51" t="s">
        <v>176</v>
      </c>
      <c r="D50" s="51" t="s">
        <v>83</v>
      </c>
      <c r="E50" s="51">
        <v>12</v>
      </c>
      <c r="F50" s="52"/>
      <c r="G50" s="52" t="s">
        <v>2</v>
      </c>
      <c r="H50" s="123"/>
    </row>
    <row r="51" spans="1:8" ht="15" customHeight="1">
      <c r="A51" s="107"/>
      <c r="B51" s="107"/>
      <c r="C51" s="82" t="s">
        <v>177</v>
      </c>
      <c r="D51" s="82" t="s">
        <v>83</v>
      </c>
      <c r="E51" s="82">
        <v>12</v>
      </c>
      <c r="F51" s="82"/>
      <c r="G51" s="82" t="s">
        <v>2</v>
      </c>
      <c r="H51" s="123"/>
    </row>
    <row r="52" spans="1:8" ht="15" customHeight="1">
      <c r="A52" s="107"/>
      <c r="B52" s="127" t="s">
        <v>424</v>
      </c>
      <c r="C52" s="51" t="s">
        <v>458</v>
      </c>
      <c r="D52" s="51" t="s">
        <v>0</v>
      </c>
      <c r="E52" s="51">
        <v>16</v>
      </c>
      <c r="F52" s="52" t="s">
        <v>2</v>
      </c>
      <c r="G52" s="52"/>
      <c r="H52" s="124">
        <f>SUM(E52:E55)</f>
        <v>56</v>
      </c>
    </row>
    <row r="53" spans="1:8" ht="15" customHeight="1">
      <c r="A53" s="107"/>
      <c r="B53" s="128"/>
      <c r="C53" s="51" t="s">
        <v>49</v>
      </c>
      <c r="D53" s="51" t="s">
        <v>49</v>
      </c>
      <c r="E53" s="51">
        <v>16</v>
      </c>
      <c r="F53" s="52" t="s">
        <v>2</v>
      </c>
      <c r="G53" s="52"/>
      <c r="H53" s="126"/>
    </row>
    <row r="54" spans="1:8" ht="15" customHeight="1">
      <c r="A54" s="107"/>
      <c r="B54" s="128"/>
      <c r="C54" s="51" t="s">
        <v>176</v>
      </c>
      <c r="D54" s="51" t="s">
        <v>83</v>
      </c>
      <c r="E54" s="51">
        <v>12</v>
      </c>
      <c r="F54" s="72" t="s">
        <v>2</v>
      </c>
      <c r="G54" s="72"/>
      <c r="H54" s="126"/>
    </row>
    <row r="55" spans="1:8" ht="15" customHeight="1">
      <c r="A55" s="107"/>
      <c r="B55" s="129"/>
      <c r="C55" s="83" t="s">
        <v>177</v>
      </c>
      <c r="D55" s="83" t="s">
        <v>83</v>
      </c>
      <c r="E55" s="83">
        <v>12</v>
      </c>
      <c r="F55" s="83" t="s">
        <v>2</v>
      </c>
      <c r="G55" s="84"/>
      <c r="H55" s="125"/>
    </row>
    <row r="56" spans="1:8" ht="15" customHeight="1">
      <c r="A56" s="107"/>
      <c r="B56" s="107" t="s">
        <v>459</v>
      </c>
      <c r="C56" s="51" t="s">
        <v>289</v>
      </c>
      <c r="D56" s="51" t="s">
        <v>0</v>
      </c>
      <c r="E56" s="51">
        <v>24</v>
      </c>
      <c r="F56" s="52" t="s">
        <v>2</v>
      </c>
      <c r="G56" s="52"/>
      <c r="H56" s="124">
        <f>SUM(E56:E57)</f>
        <v>56</v>
      </c>
    </row>
    <row r="57" spans="1:8" ht="15" customHeight="1">
      <c r="A57" s="107"/>
      <c r="B57" s="107"/>
      <c r="C57" s="51" t="s">
        <v>49</v>
      </c>
      <c r="D57" s="51" t="s">
        <v>49</v>
      </c>
      <c r="E57" s="51">
        <v>32</v>
      </c>
      <c r="F57" s="52" t="s">
        <v>2</v>
      </c>
      <c r="G57" s="52"/>
      <c r="H57" s="125"/>
    </row>
    <row r="58" spans="1:8" ht="15" customHeight="1">
      <c r="A58" s="107"/>
      <c r="B58" s="107" t="s">
        <v>460</v>
      </c>
      <c r="C58" s="51" t="s">
        <v>289</v>
      </c>
      <c r="D58" s="51" t="s">
        <v>0</v>
      </c>
      <c r="E58" s="51">
        <v>16</v>
      </c>
      <c r="F58" s="52"/>
      <c r="G58" s="52"/>
      <c r="H58" s="124">
        <f>SUM(E58:E59)</f>
        <v>24</v>
      </c>
    </row>
    <row r="59" spans="1:8" ht="15" customHeight="1">
      <c r="A59" s="107"/>
      <c r="B59" s="107"/>
      <c r="C59" s="51" t="s">
        <v>49</v>
      </c>
      <c r="D59" s="51" t="s">
        <v>49</v>
      </c>
      <c r="E59" s="51">
        <v>8</v>
      </c>
      <c r="F59" s="85"/>
      <c r="G59" s="85"/>
      <c r="H59" s="126"/>
    </row>
    <row r="60" spans="1:8">
      <c r="A60" s="112" t="s">
        <v>462</v>
      </c>
      <c r="B60" s="112" t="s">
        <v>461</v>
      </c>
      <c r="C60" s="32" t="s">
        <v>483</v>
      </c>
      <c r="D60" s="32" t="s">
        <v>484</v>
      </c>
      <c r="E60" s="32">
        <v>16</v>
      </c>
      <c r="F60" s="32" t="s">
        <v>11</v>
      </c>
      <c r="G60" s="32"/>
      <c r="H60" s="115">
        <f>SUM(E60:E61)</f>
        <v>96</v>
      </c>
    </row>
    <row r="61" spans="1:8" ht="15">
      <c r="A61" s="114"/>
      <c r="B61" s="114"/>
      <c r="C61" s="83" t="s">
        <v>463</v>
      </c>
      <c r="D61" s="83" t="s">
        <v>83</v>
      </c>
      <c r="E61" s="83">
        <v>80</v>
      </c>
      <c r="F61" s="83"/>
      <c r="G61" s="84" t="s">
        <v>2</v>
      </c>
      <c r="H61" s="117"/>
    </row>
    <row r="62" spans="1:8" ht="15">
      <c r="A62" s="94" t="s">
        <v>485</v>
      </c>
      <c r="B62" s="92" t="s">
        <v>480</v>
      </c>
      <c r="C62" s="93" t="s">
        <v>481</v>
      </c>
      <c r="D62" s="93" t="s">
        <v>482</v>
      </c>
      <c r="E62" s="93">
        <v>40</v>
      </c>
      <c r="F62" s="93"/>
      <c r="G62" s="95" t="s">
        <v>2</v>
      </c>
      <c r="H62" s="91">
        <f>E62</f>
        <v>40</v>
      </c>
    </row>
    <row r="63" spans="1:8" ht="15" customHeight="1">
      <c r="A63" s="120" t="s">
        <v>290</v>
      </c>
      <c r="B63" s="120" t="s">
        <v>7</v>
      </c>
      <c r="C63" s="12" t="s">
        <v>52</v>
      </c>
      <c r="D63" s="29" t="s">
        <v>0</v>
      </c>
      <c r="E63" s="120">
        <v>24</v>
      </c>
      <c r="F63" s="120"/>
      <c r="G63" s="120"/>
      <c r="H63" s="119">
        <f>SUM(E63:E82)</f>
        <v>24</v>
      </c>
    </row>
    <row r="64" spans="1:8" ht="15" customHeight="1">
      <c r="A64" s="120"/>
      <c r="B64" s="120"/>
      <c r="C64" s="12" t="s">
        <v>53</v>
      </c>
      <c r="D64" s="29" t="s">
        <v>0</v>
      </c>
      <c r="E64" s="120"/>
      <c r="F64" s="120"/>
      <c r="G64" s="120"/>
      <c r="H64" s="119"/>
    </row>
    <row r="65" spans="1:8" ht="15" customHeight="1">
      <c r="A65" s="120"/>
      <c r="B65" s="120"/>
      <c r="C65" s="12" t="s">
        <v>54</v>
      </c>
      <c r="D65" s="29" t="s">
        <v>0</v>
      </c>
      <c r="E65" s="120"/>
      <c r="F65" s="120"/>
      <c r="G65" s="120"/>
      <c r="H65" s="119"/>
    </row>
    <row r="66" spans="1:8" ht="15" customHeight="1">
      <c r="A66" s="120"/>
      <c r="B66" s="120"/>
      <c r="C66" s="12" t="s">
        <v>55</v>
      </c>
      <c r="D66" s="29" t="s">
        <v>0</v>
      </c>
      <c r="E66" s="120"/>
      <c r="F66" s="120"/>
      <c r="G66" s="120"/>
      <c r="H66" s="119"/>
    </row>
    <row r="67" spans="1:8" ht="15" customHeight="1">
      <c r="A67" s="120"/>
      <c r="B67" s="120"/>
      <c r="C67" s="12" t="s">
        <v>56</v>
      </c>
      <c r="D67" s="29" t="s">
        <v>0</v>
      </c>
      <c r="E67" s="120"/>
      <c r="F67" s="120"/>
      <c r="G67" s="120"/>
      <c r="H67" s="119"/>
    </row>
    <row r="68" spans="1:8" ht="15" customHeight="1">
      <c r="A68" s="120"/>
      <c r="B68" s="120"/>
      <c r="C68" s="12" t="s">
        <v>57</v>
      </c>
      <c r="D68" s="29" t="s">
        <v>0</v>
      </c>
      <c r="E68" s="120"/>
      <c r="F68" s="120"/>
      <c r="G68" s="120"/>
      <c r="H68" s="119"/>
    </row>
    <row r="69" spans="1:8" ht="15" customHeight="1">
      <c r="A69" s="120"/>
      <c r="B69" s="120"/>
      <c r="C69" s="12" t="s">
        <v>58</v>
      </c>
      <c r="D69" s="29" t="s">
        <v>0</v>
      </c>
      <c r="E69" s="120"/>
      <c r="F69" s="120"/>
      <c r="G69" s="120"/>
      <c r="H69" s="119"/>
    </row>
    <row r="70" spans="1:8" ht="15" customHeight="1">
      <c r="A70" s="120"/>
      <c r="B70" s="120"/>
      <c r="C70" s="12" t="s">
        <v>60</v>
      </c>
      <c r="D70" s="29" t="s">
        <v>0</v>
      </c>
      <c r="E70" s="120"/>
      <c r="F70" s="120"/>
      <c r="G70" s="120"/>
      <c r="H70" s="119"/>
    </row>
    <row r="71" spans="1:8" ht="15" customHeight="1">
      <c r="A71" s="120"/>
      <c r="B71" s="120"/>
      <c r="C71" s="12" t="s">
        <v>59</v>
      </c>
      <c r="D71" s="29" t="s">
        <v>0</v>
      </c>
      <c r="E71" s="120"/>
      <c r="F71" s="120"/>
      <c r="G71" s="120"/>
      <c r="H71" s="119"/>
    </row>
    <row r="72" spans="1:8" ht="15" customHeight="1">
      <c r="A72" s="120"/>
      <c r="B72" s="120"/>
      <c r="C72" s="12" t="s">
        <v>61</v>
      </c>
      <c r="D72" s="29" t="s">
        <v>0</v>
      </c>
      <c r="E72" s="120"/>
      <c r="F72" s="120"/>
      <c r="G72" s="120"/>
      <c r="H72" s="119"/>
    </row>
    <row r="73" spans="1:8" ht="15" customHeight="1">
      <c r="A73" s="120"/>
      <c r="B73" s="120"/>
      <c r="C73" s="12" t="s">
        <v>62</v>
      </c>
      <c r="D73" s="29" t="s">
        <v>0</v>
      </c>
      <c r="E73" s="120"/>
      <c r="F73" s="120"/>
      <c r="G73" s="120"/>
      <c r="H73" s="119"/>
    </row>
    <row r="74" spans="1:8" ht="15" customHeight="1">
      <c r="A74" s="120"/>
      <c r="B74" s="120"/>
      <c r="C74" s="12" t="s">
        <v>63</v>
      </c>
      <c r="D74" s="29" t="s">
        <v>0</v>
      </c>
      <c r="E74" s="120"/>
      <c r="F74" s="120"/>
      <c r="G74" s="120"/>
      <c r="H74" s="119"/>
    </row>
    <row r="75" spans="1:8" ht="15" customHeight="1">
      <c r="A75" s="120"/>
      <c r="B75" s="120"/>
      <c r="C75" s="12" t="s">
        <v>64</v>
      </c>
      <c r="D75" s="29" t="s">
        <v>0</v>
      </c>
      <c r="E75" s="120"/>
      <c r="F75" s="120"/>
      <c r="G75" s="120"/>
      <c r="H75" s="119"/>
    </row>
    <row r="76" spans="1:8" ht="15" customHeight="1">
      <c r="A76" s="120"/>
      <c r="B76" s="120"/>
      <c r="C76" s="12" t="s">
        <v>65</v>
      </c>
      <c r="D76" s="29" t="s">
        <v>0</v>
      </c>
      <c r="E76" s="120"/>
      <c r="F76" s="120"/>
      <c r="G76" s="120"/>
      <c r="H76" s="119"/>
    </row>
    <row r="77" spans="1:8" ht="15" customHeight="1">
      <c r="A77" s="120"/>
      <c r="B77" s="120"/>
      <c r="C77" s="12" t="s">
        <v>66</v>
      </c>
      <c r="D77" s="29" t="s">
        <v>0</v>
      </c>
      <c r="E77" s="120"/>
      <c r="F77" s="120"/>
      <c r="G77" s="120"/>
      <c r="H77" s="119"/>
    </row>
    <row r="78" spans="1:8" ht="15" customHeight="1">
      <c r="A78" s="120"/>
      <c r="B78" s="120"/>
      <c r="C78" s="12" t="s">
        <v>67</v>
      </c>
      <c r="D78" s="29" t="s">
        <v>0</v>
      </c>
      <c r="E78" s="120"/>
      <c r="F78" s="120"/>
      <c r="G78" s="120"/>
      <c r="H78" s="119"/>
    </row>
    <row r="79" spans="1:8" ht="15" customHeight="1">
      <c r="A79" s="120"/>
      <c r="B79" s="120"/>
      <c r="C79" s="12" t="s">
        <v>68</v>
      </c>
      <c r="D79" s="29" t="s">
        <v>0</v>
      </c>
      <c r="E79" s="120"/>
      <c r="F79" s="120"/>
      <c r="G79" s="120"/>
      <c r="H79" s="119"/>
    </row>
    <row r="80" spans="1:8" ht="15" customHeight="1">
      <c r="A80" s="120"/>
      <c r="B80" s="120"/>
      <c r="C80" s="12" t="s">
        <v>69</v>
      </c>
      <c r="D80" s="29" t="s">
        <v>0</v>
      </c>
      <c r="E80" s="120"/>
      <c r="F80" s="120"/>
      <c r="G80" s="120"/>
      <c r="H80" s="119"/>
    </row>
    <row r="81" spans="1:8" ht="15" customHeight="1">
      <c r="A81" s="120"/>
      <c r="B81" s="120"/>
      <c r="C81" s="12" t="s">
        <v>70</v>
      </c>
      <c r="D81" s="29" t="s">
        <v>0</v>
      </c>
      <c r="E81" s="120"/>
      <c r="F81" s="120"/>
      <c r="G81" s="120"/>
      <c r="H81" s="119"/>
    </row>
    <row r="82" spans="1:8" ht="15" customHeight="1">
      <c r="A82" s="120"/>
      <c r="B82" s="120"/>
      <c r="C82" s="12" t="s">
        <v>71</v>
      </c>
      <c r="D82" s="29" t="s">
        <v>0</v>
      </c>
      <c r="E82" s="120"/>
      <c r="F82" s="120"/>
      <c r="G82" s="120"/>
      <c r="H82" s="119"/>
    </row>
    <row r="83" spans="1:8" ht="15" customHeight="1">
      <c r="A83" s="118" t="s">
        <v>34</v>
      </c>
      <c r="B83" s="118"/>
      <c r="C83" s="118"/>
      <c r="D83" s="118"/>
      <c r="E83" s="118"/>
      <c r="F83" s="118"/>
      <c r="G83" s="118"/>
      <c r="H83" s="13">
        <f>SUM(H2:H82)</f>
        <v>718.85</v>
      </c>
    </row>
    <row r="84" spans="1:8" ht="15" customHeight="1">
      <c r="A84" s="118" t="s">
        <v>35</v>
      </c>
      <c r="B84" s="118"/>
      <c r="C84" s="118"/>
      <c r="D84" s="118"/>
      <c r="E84" s="118"/>
      <c r="F84" s="118"/>
      <c r="G84" s="118"/>
      <c r="H84" s="13">
        <f>(H83/8)/5</f>
        <v>17.971250000000001</v>
      </c>
    </row>
    <row r="85" spans="1:8" ht="15" customHeight="1">
      <c r="A85" s="121" t="s">
        <v>39</v>
      </c>
      <c r="B85" s="121"/>
      <c r="C85" s="121"/>
      <c r="D85" s="121"/>
      <c r="E85" s="121"/>
      <c r="F85" s="121"/>
      <c r="G85" s="121"/>
      <c r="H85" s="28"/>
    </row>
    <row r="86" spans="1:8" ht="15" customHeight="1">
      <c r="A86" s="4" t="s">
        <v>13</v>
      </c>
      <c r="B86" s="4" t="s">
        <v>10</v>
      </c>
      <c r="C86" s="4" t="s">
        <v>15</v>
      </c>
      <c r="D86" s="4" t="s">
        <v>3</v>
      </c>
      <c r="E86" s="5">
        <v>10</v>
      </c>
      <c r="F86" s="4" t="s">
        <v>11</v>
      </c>
      <c r="G86" s="5" t="s">
        <v>11</v>
      </c>
      <c r="H86" s="119">
        <f>SUM(E86:E91)</f>
        <v>90.5</v>
      </c>
    </row>
    <row r="87" spans="1:8" ht="15" customHeight="1">
      <c r="A87" s="4" t="s">
        <v>13</v>
      </c>
      <c r="B87" s="4" t="s">
        <v>10</v>
      </c>
      <c r="C87" s="4" t="s">
        <v>14</v>
      </c>
      <c r="D87" s="4" t="s">
        <v>3</v>
      </c>
      <c r="E87" s="5">
        <v>9.5</v>
      </c>
      <c r="F87" s="4" t="s">
        <v>11</v>
      </c>
      <c r="G87" s="5" t="s">
        <v>11</v>
      </c>
      <c r="H87" s="119"/>
    </row>
    <row r="88" spans="1:8" ht="15" customHeight="1">
      <c r="A88" s="4" t="s">
        <v>13</v>
      </c>
      <c r="B88" s="4" t="s">
        <v>10</v>
      </c>
      <c r="C88" s="4" t="s">
        <v>12</v>
      </c>
      <c r="D88" s="4" t="s">
        <v>3</v>
      </c>
      <c r="E88" s="5">
        <v>8</v>
      </c>
      <c r="F88" s="4" t="s">
        <v>2</v>
      </c>
      <c r="G88" s="5" t="s">
        <v>2</v>
      </c>
      <c r="H88" s="119"/>
    </row>
    <row r="89" spans="1:8" ht="15" customHeight="1">
      <c r="A89" s="4" t="s">
        <v>5</v>
      </c>
      <c r="B89" s="4" t="s">
        <v>10</v>
      </c>
      <c r="C89" s="11" t="s">
        <v>9</v>
      </c>
      <c r="D89" s="4" t="s">
        <v>3</v>
      </c>
      <c r="E89" s="5">
        <v>13</v>
      </c>
      <c r="F89" s="4" t="s">
        <v>8</v>
      </c>
      <c r="G89" s="5" t="s">
        <v>8</v>
      </c>
      <c r="H89" s="119"/>
    </row>
    <row r="90" spans="1:8" ht="15" customHeight="1">
      <c r="A90" s="4" t="s">
        <v>7</v>
      </c>
      <c r="B90" s="4" t="s">
        <v>1</v>
      </c>
      <c r="C90" s="4" t="s">
        <v>6</v>
      </c>
      <c r="D90" s="4"/>
      <c r="E90" s="5">
        <v>4</v>
      </c>
      <c r="F90" s="4" t="s">
        <v>2</v>
      </c>
      <c r="G90" s="5" t="s">
        <v>2</v>
      </c>
      <c r="H90" s="119"/>
    </row>
    <row r="91" spans="1:8" ht="15" customHeight="1">
      <c r="A91" s="4" t="s">
        <v>5</v>
      </c>
      <c r="B91" s="4" t="s">
        <v>1</v>
      </c>
      <c r="C91" s="11" t="s">
        <v>4</v>
      </c>
      <c r="D91" s="4" t="s">
        <v>3</v>
      </c>
      <c r="E91" s="5">
        <v>46</v>
      </c>
      <c r="F91" s="5" t="s">
        <v>2</v>
      </c>
      <c r="G91" s="4" t="s">
        <v>2</v>
      </c>
      <c r="H91" s="119"/>
    </row>
    <row r="92" spans="1:8" ht="15" customHeight="1">
      <c r="A92" s="118" t="s">
        <v>40</v>
      </c>
      <c r="B92" s="118"/>
      <c r="C92" s="118"/>
      <c r="D92" s="118"/>
      <c r="E92" s="118"/>
      <c r="F92" s="118"/>
      <c r="G92" s="118"/>
      <c r="H92" s="13">
        <f>SUM(H86)</f>
        <v>90.5</v>
      </c>
    </row>
    <row r="93" spans="1:8" ht="15" customHeight="1">
      <c r="A93" s="118" t="s">
        <v>41</v>
      </c>
      <c r="B93" s="118"/>
      <c r="C93" s="118"/>
      <c r="D93" s="118"/>
      <c r="E93" s="118"/>
      <c r="F93" s="118"/>
      <c r="G93" s="118"/>
      <c r="H93" s="13">
        <f>(H92/8)/5</f>
        <v>2.2625000000000002</v>
      </c>
    </row>
    <row r="94" spans="1:8" ht="25.5">
      <c r="G94" s="75" t="s">
        <v>409</v>
      </c>
      <c r="H94" s="75">
        <f>SUM(H84,H93)</f>
        <v>20.233750000000001</v>
      </c>
    </row>
  </sheetData>
  <mergeCells count="46">
    <mergeCell ref="A60:A61"/>
    <mergeCell ref="H60:H61"/>
    <mergeCell ref="B60:B61"/>
    <mergeCell ref="H48:H51"/>
    <mergeCell ref="B48:B51"/>
    <mergeCell ref="H56:H57"/>
    <mergeCell ref="H58:H59"/>
    <mergeCell ref="B56:B57"/>
    <mergeCell ref="B58:B59"/>
    <mergeCell ref="B52:B55"/>
    <mergeCell ref="H52:H55"/>
    <mergeCell ref="H32:H35"/>
    <mergeCell ref="H40:H43"/>
    <mergeCell ref="H44:H47"/>
    <mergeCell ref="H36:H39"/>
    <mergeCell ref="B28:B29"/>
    <mergeCell ref="H30:H31"/>
    <mergeCell ref="B32:B35"/>
    <mergeCell ref="B40:B43"/>
    <mergeCell ref="A93:G93"/>
    <mergeCell ref="H63:H82"/>
    <mergeCell ref="A83:G83"/>
    <mergeCell ref="A84:G84"/>
    <mergeCell ref="H86:H91"/>
    <mergeCell ref="B63:B82"/>
    <mergeCell ref="A63:A82"/>
    <mergeCell ref="A85:G85"/>
    <mergeCell ref="E63:E82"/>
    <mergeCell ref="F63:F82"/>
    <mergeCell ref="G63:G82"/>
    <mergeCell ref="A92:G92"/>
    <mergeCell ref="B2:B5"/>
    <mergeCell ref="A2:A15"/>
    <mergeCell ref="B21:B23"/>
    <mergeCell ref="A16:A29"/>
    <mergeCell ref="H2:H15"/>
    <mergeCell ref="B14:B15"/>
    <mergeCell ref="B16:B20"/>
    <mergeCell ref="H16:H29"/>
    <mergeCell ref="B24:B27"/>
    <mergeCell ref="A30:A47"/>
    <mergeCell ref="A48:A59"/>
    <mergeCell ref="B30:B31"/>
    <mergeCell ref="B36:B39"/>
    <mergeCell ref="B6:B13"/>
    <mergeCell ref="B44:B47"/>
  </mergeCells>
  <dataValidations count="4">
    <dataValidation type="list" allowBlank="1" showInputMessage="1" showErrorMessage="1" sqref="G5 F2:F5 F63:F82 F10:G29 F60:G62 F30:F59">
      <formula1>"Knowledge,Skill,Awareness"</formula1>
    </dataValidation>
    <dataValidation type="list" allowBlank="1" showInputMessage="1" showErrorMessage="1" sqref="WVD983101 WLH983101 WBL983101 VRP983101 VHT983101 UXX983101 UOB983101 UEF983101 TUJ983101 TKN983101 TAR983101 SQV983101 SGZ983101 RXD983101 RNH983101 RDL983101 QTP983101 QJT983101 PZX983101 PQB983101 PGF983101 OWJ983101 OMN983101 OCR983101 NSV983101 NIZ983101 MZD983101 MPH983101 MFL983101 LVP983101 LLT983101 LBX983101 KSB983101 KIF983101 JYJ983101 JON983101 JER983101 IUV983101 IKZ983101 IBD983101 HRH983101 HHL983101 GXP983101 GNT983101 GDX983101 FUB983101 FKF983101 FAJ983101 EQN983101 EGR983101 DWV983101 DMZ983101 DDD983101 CTH983101 CJL983101 BZP983101 BPT983101 BFX983101 AWB983101 AMF983101 ACJ983101 SN983101 IR983101 WVD917565 WLH917565 WBL917565 VRP917565 VHT917565 UXX917565 UOB917565 UEF917565 TUJ917565 TKN917565 TAR917565 SQV917565 SGZ917565 RXD917565 RNH917565 RDL917565 QTP917565 QJT917565 PZX917565 PQB917565 PGF917565 OWJ917565 OMN917565 OCR917565 NSV917565 NIZ917565 MZD917565 MPH917565 MFL917565 LVP917565 LLT917565 LBX917565 KSB917565 KIF917565 JYJ917565 JON917565 JER917565 IUV917565 IKZ917565 IBD917565 HRH917565 HHL917565 GXP917565 GNT917565 GDX917565 FUB917565 FKF917565 FAJ917565 EQN917565 EGR917565 DWV917565 DMZ917565 DDD917565 CTH917565 CJL917565 BZP917565 BPT917565 BFX917565 AWB917565 AMF917565 ACJ917565 SN917565 IR917565 WVD852029 WLH852029 WBL852029 VRP852029 VHT852029 UXX852029 UOB852029 UEF852029 TUJ852029 TKN852029 TAR852029 SQV852029 SGZ852029 RXD852029 RNH852029 RDL852029 QTP852029 QJT852029 PZX852029 PQB852029 PGF852029 OWJ852029 OMN852029 OCR852029 NSV852029 NIZ852029 MZD852029 MPH852029 MFL852029 LVP852029 LLT852029 LBX852029 KSB852029 KIF852029 JYJ852029 JON852029 JER852029 IUV852029 IKZ852029 IBD852029 HRH852029 HHL852029 GXP852029 GNT852029 GDX852029 FUB852029 FKF852029 FAJ852029 EQN852029 EGR852029 DWV852029 DMZ852029 DDD852029 CTH852029 CJL852029 BZP852029 BPT852029 BFX852029 AWB852029 AMF852029 ACJ852029 SN852029 IR852029 WVD786493 WLH786493 WBL786493 VRP786493 VHT786493 UXX786493 UOB786493 UEF786493 TUJ786493 TKN786493 TAR786493 SQV786493 SGZ786493 RXD786493 RNH786493 RDL786493 QTP786493 QJT786493 PZX786493 PQB786493 PGF786493 OWJ786493 OMN786493 OCR786493 NSV786493 NIZ786493 MZD786493 MPH786493 MFL786493 LVP786493 LLT786493 LBX786493 KSB786493 KIF786493 JYJ786493 JON786493 JER786493 IUV786493 IKZ786493 IBD786493 HRH786493 HHL786493 GXP786493 GNT786493 GDX786493 FUB786493 FKF786493 FAJ786493 EQN786493 EGR786493 DWV786493 DMZ786493 DDD786493 CTH786493 CJL786493 BZP786493 BPT786493 BFX786493 AWB786493 AMF786493 ACJ786493 SN786493 IR786493 WVD720957 WLH720957 WBL720957 VRP720957 VHT720957 UXX720957 UOB720957 UEF720957 TUJ720957 TKN720957 TAR720957 SQV720957 SGZ720957 RXD720957 RNH720957 RDL720957 QTP720957 QJT720957 PZX720957 PQB720957 PGF720957 OWJ720957 OMN720957 OCR720957 NSV720957 NIZ720957 MZD720957 MPH720957 MFL720957 LVP720957 LLT720957 LBX720957 KSB720957 KIF720957 JYJ720957 JON720957 JER720957 IUV720957 IKZ720957 IBD720957 HRH720957 HHL720957 GXP720957 GNT720957 GDX720957 FUB720957 FKF720957 FAJ720957 EQN720957 EGR720957 DWV720957 DMZ720957 DDD720957 CTH720957 CJL720957 BZP720957 BPT720957 BFX720957 AWB720957 AMF720957 ACJ720957 SN720957 IR720957 WVD655421 WLH655421 WBL655421 VRP655421 VHT655421 UXX655421 UOB655421 UEF655421 TUJ655421 TKN655421 TAR655421 SQV655421 SGZ655421 RXD655421 RNH655421 RDL655421 QTP655421 QJT655421 PZX655421 PQB655421 PGF655421 OWJ655421 OMN655421 OCR655421 NSV655421 NIZ655421 MZD655421 MPH655421 MFL655421 LVP655421 LLT655421 LBX655421 KSB655421 KIF655421 JYJ655421 JON655421 JER655421 IUV655421 IKZ655421 IBD655421 HRH655421 HHL655421 GXP655421 GNT655421 GDX655421 FUB655421 FKF655421 FAJ655421 EQN655421 EGR655421 DWV655421 DMZ655421 DDD655421 CTH655421 CJL655421 BZP655421 BPT655421 BFX655421 AWB655421 AMF655421 ACJ655421 SN655421 IR655421 WVD589885 WLH589885 WBL589885 VRP589885 VHT589885 UXX589885 UOB589885 UEF589885 TUJ589885 TKN589885 TAR589885 SQV589885 SGZ589885 RXD589885 RNH589885 RDL589885 QTP589885 QJT589885 PZX589885 PQB589885 PGF589885 OWJ589885 OMN589885 OCR589885 NSV589885 NIZ589885 MZD589885 MPH589885 MFL589885 LVP589885 LLT589885 LBX589885 KSB589885 KIF589885 JYJ589885 JON589885 JER589885 IUV589885 IKZ589885 IBD589885 HRH589885 HHL589885 GXP589885 GNT589885 GDX589885 FUB589885 FKF589885 FAJ589885 EQN589885 EGR589885 DWV589885 DMZ589885 DDD589885 CTH589885 CJL589885 BZP589885 BPT589885 BFX589885 AWB589885 AMF589885 ACJ589885 SN589885 IR589885 WVD524349 WLH524349 WBL524349 VRP524349 VHT524349 UXX524349 UOB524349 UEF524349 TUJ524349 TKN524349 TAR524349 SQV524349 SGZ524349 RXD524349 RNH524349 RDL524349 QTP524349 QJT524349 PZX524349 PQB524349 PGF524349 OWJ524349 OMN524349 OCR524349 NSV524349 NIZ524349 MZD524349 MPH524349 MFL524349 LVP524349 LLT524349 LBX524349 KSB524349 KIF524349 JYJ524349 JON524349 JER524349 IUV524349 IKZ524349 IBD524349 HRH524349 HHL524349 GXP524349 GNT524349 GDX524349 FUB524349 FKF524349 FAJ524349 EQN524349 EGR524349 DWV524349 DMZ524349 DDD524349 CTH524349 CJL524349 BZP524349 BPT524349 BFX524349 AWB524349 AMF524349 ACJ524349 SN524349 IR524349 WVD458813 WLH458813 WBL458813 VRP458813 VHT458813 UXX458813 UOB458813 UEF458813 TUJ458813 TKN458813 TAR458813 SQV458813 SGZ458813 RXD458813 RNH458813 RDL458813 QTP458813 QJT458813 PZX458813 PQB458813 PGF458813 OWJ458813 OMN458813 OCR458813 NSV458813 NIZ458813 MZD458813 MPH458813 MFL458813 LVP458813 LLT458813 LBX458813 KSB458813 KIF458813 JYJ458813 JON458813 JER458813 IUV458813 IKZ458813 IBD458813 HRH458813 HHL458813 GXP458813 GNT458813 GDX458813 FUB458813 FKF458813 FAJ458813 EQN458813 EGR458813 DWV458813 DMZ458813 DDD458813 CTH458813 CJL458813 BZP458813 BPT458813 BFX458813 AWB458813 AMF458813 ACJ458813 SN458813 IR458813 WVD393277 WLH393277 WBL393277 VRP393277 VHT393277 UXX393277 UOB393277 UEF393277 TUJ393277 TKN393277 TAR393277 SQV393277 SGZ393277 RXD393277 RNH393277 RDL393277 QTP393277 QJT393277 PZX393277 PQB393277 PGF393277 OWJ393277 OMN393277 OCR393277 NSV393277 NIZ393277 MZD393277 MPH393277 MFL393277 LVP393277 LLT393277 LBX393277 KSB393277 KIF393277 JYJ393277 JON393277 JER393277 IUV393277 IKZ393277 IBD393277 HRH393277 HHL393277 GXP393277 GNT393277 GDX393277 FUB393277 FKF393277 FAJ393277 EQN393277 EGR393277 DWV393277 DMZ393277 DDD393277 CTH393277 CJL393277 BZP393277 BPT393277 BFX393277 AWB393277 AMF393277 ACJ393277 SN393277 IR393277 WVD327741 WLH327741 WBL327741 VRP327741 VHT327741 UXX327741 UOB327741 UEF327741 TUJ327741 TKN327741 TAR327741 SQV327741 SGZ327741 RXD327741 RNH327741 RDL327741 QTP327741 QJT327741 PZX327741 PQB327741 PGF327741 OWJ327741 OMN327741 OCR327741 NSV327741 NIZ327741 MZD327741 MPH327741 MFL327741 LVP327741 LLT327741 LBX327741 KSB327741 KIF327741 JYJ327741 JON327741 JER327741 IUV327741 IKZ327741 IBD327741 HRH327741 HHL327741 GXP327741 GNT327741 GDX327741 FUB327741 FKF327741 FAJ327741 EQN327741 EGR327741 DWV327741 DMZ327741 DDD327741 CTH327741 CJL327741 BZP327741 BPT327741 BFX327741 AWB327741 AMF327741 ACJ327741 SN327741 IR327741 WVD262205 WLH262205 WBL262205 VRP262205 VHT262205 UXX262205 UOB262205 UEF262205 TUJ262205 TKN262205 TAR262205 SQV262205 SGZ262205 RXD262205 RNH262205 RDL262205 QTP262205 QJT262205 PZX262205 PQB262205 PGF262205 OWJ262205 OMN262205 OCR262205 NSV262205 NIZ262205 MZD262205 MPH262205 MFL262205 LVP262205 LLT262205 LBX262205 KSB262205 KIF262205 JYJ262205 JON262205 JER262205 IUV262205 IKZ262205 IBD262205 HRH262205 HHL262205 GXP262205 GNT262205 GDX262205 FUB262205 FKF262205 FAJ262205 EQN262205 EGR262205 DWV262205 DMZ262205 DDD262205 CTH262205 CJL262205 BZP262205 BPT262205 BFX262205 AWB262205 AMF262205 ACJ262205 SN262205 IR262205 WVD196669 WLH196669 WBL196669 VRP196669 VHT196669 UXX196669 UOB196669 UEF196669 TUJ196669 TKN196669 TAR196669 SQV196669 SGZ196669 RXD196669 RNH196669 RDL196669 QTP196669 QJT196669 PZX196669 PQB196669 PGF196669 OWJ196669 OMN196669 OCR196669 NSV196669 NIZ196669 MZD196669 MPH196669 MFL196669 LVP196669 LLT196669 LBX196669 KSB196669 KIF196669 JYJ196669 JON196669 JER196669 IUV196669 IKZ196669 IBD196669 HRH196669 HHL196669 GXP196669 GNT196669 GDX196669 FUB196669 FKF196669 FAJ196669 EQN196669 EGR196669 DWV196669 DMZ196669 DDD196669 CTH196669 CJL196669 BZP196669 BPT196669 BFX196669 AWB196669 AMF196669 ACJ196669 SN196669 IR196669 WVD131133 WLH131133 WBL131133 VRP131133 VHT131133 UXX131133 UOB131133 UEF131133 TUJ131133 TKN131133 TAR131133 SQV131133 SGZ131133 RXD131133 RNH131133 RDL131133 QTP131133 QJT131133 PZX131133 PQB131133 PGF131133 OWJ131133 OMN131133 OCR131133 NSV131133 NIZ131133 MZD131133 MPH131133 MFL131133 LVP131133 LLT131133 LBX131133 KSB131133 KIF131133 JYJ131133 JON131133 JER131133 IUV131133 IKZ131133 IBD131133 HRH131133 HHL131133 GXP131133 GNT131133 GDX131133 FUB131133 FKF131133 FAJ131133 EQN131133 EGR131133 DWV131133 DMZ131133 DDD131133 CTH131133 CJL131133 BZP131133 BPT131133 BFX131133 AWB131133 AMF131133 ACJ131133 SN131133 IR131133 WVD65597 WLH65597 WBL65597 VRP65597 VHT65597 UXX65597 UOB65597 UEF65597 TUJ65597 TKN65597 TAR65597 SQV65597 SGZ65597 RXD65597 RNH65597 RDL65597 QTP65597 QJT65597 PZX65597 PQB65597 PGF65597 OWJ65597 OMN65597 OCR65597 NSV65597 NIZ65597 MZD65597 MPH65597 MFL65597 LVP65597 LLT65597 LBX65597 KSB65597 KIF65597 JYJ65597 JON65597 JER65597 IUV65597 IKZ65597 IBD65597 HRH65597 HHL65597 GXP65597 GNT65597 GDX65597 FUB65597 FKF65597 FAJ65597 EQN65597 EGR65597 DWV65597 DMZ65597 DDD65597 CTH65597 CJL65597 BZP65597 BPT65597 BFX65597 AWB65597 AMF65597 ACJ65597 SN65597 IR65597">
      <formula1>"ILT, eLearning, Blended Learning, Outbound, Assessment, Virtual Classroom, Learning Lab"</formula1>
    </dataValidation>
    <dataValidation type="list" allowBlank="1" showInputMessage="1" showErrorMessage="1" sqref="F6:G9">
      <formula1>"Knowledge,Skill"</formula1>
    </dataValidation>
    <dataValidation type="list" allowBlank="1" showInputMessage="1" showErrorMessage="1" sqref="D2:D82">
      <formula1>"ILT,Elearning,ILT &amp; ELearning,Certification,NA,Blended Learning, Video Based, Hands-on"</formula1>
    </dataValidation>
  </dataValidation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dimension ref="A3:D10"/>
  <sheetViews>
    <sheetView topLeftCell="A10" workbookViewId="0">
      <selection activeCell="C10" sqref="C10"/>
    </sheetView>
  </sheetViews>
  <sheetFormatPr defaultRowHeight="15"/>
  <cols>
    <col min="1" max="1" width="14.85546875" customWidth="1"/>
    <col min="2" max="2" width="15" customWidth="1"/>
    <col min="3" max="3" width="68.5703125" style="74" customWidth="1"/>
    <col min="4" max="4" width="46.28515625" customWidth="1"/>
  </cols>
  <sheetData>
    <row r="3" spans="1:4">
      <c r="A3" s="10" t="s">
        <v>88</v>
      </c>
      <c r="B3" s="14" t="s">
        <v>89</v>
      </c>
      <c r="C3" s="73" t="s">
        <v>43</v>
      </c>
      <c r="D3" s="10" t="s">
        <v>90</v>
      </c>
    </row>
    <row r="4" spans="1:4" ht="15" customHeight="1">
      <c r="A4" s="130" t="s">
        <v>91</v>
      </c>
      <c r="B4" s="131" t="s">
        <v>92</v>
      </c>
      <c r="C4" s="132" t="s">
        <v>405</v>
      </c>
      <c r="D4" s="133" t="s">
        <v>93</v>
      </c>
    </row>
    <row r="5" spans="1:4">
      <c r="A5" s="130"/>
      <c r="B5" s="131"/>
      <c r="C5" s="132"/>
      <c r="D5" s="133"/>
    </row>
    <row r="6" spans="1:4">
      <c r="A6" s="130"/>
      <c r="B6" s="131"/>
      <c r="C6" s="132"/>
      <c r="D6" s="133"/>
    </row>
    <row r="7" spans="1:4">
      <c r="A7" s="130"/>
      <c r="B7" s="131"/>
      <c r="C7" s="132"/>
      <c r="D7" s="133"/>
    </row>
    <row r="8" spans="1:4" ht="191.25">
      <c r="A8" s="25" t="s">
        <v>94</v>
      </c>
      <c r="B8" s="25" t="s">
        <v>92</v>
      </c>
      <c r="C8" s="60" t="s">
        <v>406</v>
      </c>
      <c r="D8" s="15" t="s">
        <v>93</v>
      </c>
    </row>
    <row r="9" spans="1:4" ht="165.75">
      <c r="A9" s="25" t="s">
        <v>178</v>
      </c>
      <c r="B9" s="25" t="s">
        <v>92</v>
      </c>
      <c r="C9" s="58" t="s">
        <v>472</v>
      </c>
      <c r="D9" s="15" t="s">
        <v>93</v>
      </c>
    </row>
    <row r="10" spans="1:4" ht="293.25">
      <c r="A10" s="30" t="s">
        <v>283</v>
      </c>
      <c r="B10" s="30" t="s">
        <v>92</v>
      </c>
      <c r="C10" s="58" t="s">
        <v>473</v>
      </c>
      <c r="D10" s="15" t="s">
        <v>93</v>
      </c>
    </row>
  </sheetData>
  <mergeCells count="4">
    <mergeCell ref="A4:A7"/>
    <mergeCell ref="B4:B7"/>
    <mergeCell ref="C4:C7"/>
    <mergeCell ref="D4:D7"/>
  </mergeCells>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dimension ref="A1:G39"/>
  <sheetViews>
    <sheetView topLeftCell="B13" workbookViewId="0">
      <selection activeCell="D22" sqref="D22"/>
    </sheetView>
  </sheetViews>
  <sheetFormatPr defaultRowHeight="15"/>
  <cols>
    <col min="1" max="1" width="17.85546875" customWidth="1"/>
    <col min="2" max="3" width="26.7109375" customWidth="1"/>
    <col min="4" max="4" width="23.7109375" customWidth="1"/>
    <col min="5" max="5" width="36.140625" customWidth="1"/>
    <col min="6" max="7" width="38" customWidth="1"/>
  </cols>
  <sheetData>
    <row r="1" spans="1:7">
      <c r="A1" s="16"/>
      <c r="B1" s="16"/>
    </row>
    <row r="2" spans="1:7">
      <c r="A2" s="134" t="s">
        <v>179</v>
      </c>
      <c r="B2" s="134"/>
      <c r="C2" s="134"/>
      <c r="D2" s="134"/>
      <c r="E2" s="134"/>
      <c r="F2" s="134"/>
      <c r="G2" s="134"/>
    </row>
    <row r="3" spans="1:7">
      <c r="A3" s="17" t="s">
        <v>95</v>
      </c>
      <c r="B3" s="17" t="s">
        <v>96</v>
      </c>
      <c r="C3" s="17" t="s">
        <v>97</v>
      </c>
      <c r="D3" s="17" t="s">
        <v>91</v>
      </c>
      <c r="E3" s="17" t="s">
        <v>94</v>
      </c>
      <c r="F3" s="36" t="s">
        <v>178</v>
      </c>
      <c r="G3" s="36" t="s">
        <v>283</v>
      </c>
    </row>
    <row r="4" spans="1:7" ht="39" customHeight="1">
      <c r="A4" s="135" t="s">
        <v>98</v>
      </c>
      <c r="B4" s="18" t="s">
        <v>98</v>
      </c>
      <c r="C4" s="18" t="s">
        <v>99</v>
      </c>
      <c r="D4" s="19" t="s">
        <v>100</v>
      </c>
      <c r="E4" s="19"/>
      <c r="F4" s="19"/>
      <c r="G4" s="19"/>
    </row>
    <row r="5" spans="1:7">
      <c r="A5" s="136"/>
      <c r="B5" s="18" t="s">
        <v>101</v>
      </c>
      <c r="C5" s="18" t="s">
        <v>99</v>
      </c>
      <c r="D5" s="19" t="s">
        <v>16</v>
      </c>
      <c r="E5" s="19"/>
      <c r="F5" s="19"/>
      <c r="G5" s="19"/>
    </row>
    <row r="6" spans="1:7">
      <c r="A6" s="137" t="s">
        <v>102</v>
      </c>
      <c r="B6" s="139" t="s">
        <v>103</v>
      </c>
      <c r="C6" s="139" t="s">
        <v>99</v>
      </c>
      <c r="D6" s="19" t="s">
        <v>104</v>
      </c>
      <c r="E6" s="19"/>
      <c r="F6" s="19"/>
      <c r="G6" s="19"/>
    </row>
    <row r="7" spans="1:7">
      <c r="A7" s="138"/>
      <c r="B7" s="140"/>
      <c r="C7" s="141"/>
      <c r="D7" s="19" t="s">
        <v>105</v>
      </c>
      <c r="E7" s="19"/>
      <c r="F7" s="19"/>
      <c r="G7" s="19"/>
    </row>
    <row r="8" spans="1:7">
      <c r="A8" s="138"/>
      <c r="B8" s="18" t="s">
        <v>106</v>
      </c>
      <c r="C8" s="18" t="s">
        <v>99</v>
      </c>
      <c r="D8" s="19"/>
      <c r="E8" s="19"/>
      <c r="F8" s="19" t="s">
        <v>169</v>
      </c>
      <c r="G8" s="19"/>
    </row>
    <row r="9" spans="1:7">
      <c r="A9" s="138"/>
      <c r="B9" s="137" t="s">
        <v>107</v>
      </c>
      <c r="C9" s="139" t="s">
        <v>99</v>
      </c>
      <c r="D9" s="19"/>
      <c r="E9" s="19" t="s">
        <v>108</v>
      </c>
      <c r="F9" s="19"/>
      <c r="G9" s="19"/>
    </row>
    <row r="10" spans="1:7">
      <c r="A10" s="138"/>
      <c r="B10" s="138"/>
      <c r="C10" s="142"/>
      <c r="D10" s="19"/>
      <c r="E10" s="19" t="s">
        <v>109</v>
      </c>
      <c r="F10" s="19"/>
      <c r="G10" s="19"/>
    </row>
    <row r="11" spans="1:7">
      <c r="A11" s="138"/>
      <c r="B11" s="138"/>
      <c r="C11" s="142"/>
      <c r="D11" s="19"/>
      <c r="E11" s="19" t="s">
        <v>110</v>
      </c>
      <c r="F11" s="19"/>
      <c r="G11" s="19"/>
    </row>
    <row r="12" spans="1:7">
      <c r="A12" s="138"/>
      <c r="B12" s="138"/>
      <c r="C12" s="143"/>
      <c r="D12" s="19"/>
      <c r="E12" s="19" t="s">
        <v>111</v>
      </c>
      <c r="F12" s="19"/>
      <c r="G12" s="19"/>
    </row>
    <row r="13" spans="1:7">
      <c r="A13" s="135" t="s">
        <v>112</v>
      </c>
      <c r="B13" s="139" t="s">
        <v>113</v>
      </c>
      <c r="C13" s="139" t="s">
        <v>99</v>
      </c>
      <c r="D13" s="19"/>
      <c r="E13" s="19" t="s">
        <v>114</v>
      </c>
      <c r="F13" s="19"/>
      <c r="G13" s="19"/>
    </row>
    <row r="14" spans="1:7">
      <c r="A14" s="144"/>
      <c r="B14" s="141"/>
      <c r="C14" s="143"/>
      <c r="D14" s="19"/>
      <c r="E14" s="19" t="s">
        <v>115</v>
      </c>
      <c r="F14" s="19"/>
      <c r="G14" s="19"/>
    </row>
    <row r="15" spans="1:7">
      <c r="A15" s="145"/>
      <c r="B15" s="18" t="s">
        <v>116</v>
      </c>
      <c r="C15" s="18" t="s">
        <v>99</v>
      </c>
      <c r="D15" s="19"/>
      <c r="E15" s="19"/>
      <c r="F15" s="19" t="s">
        <v>475</v>
      </c>
      <c r="G15" s="19"/>
    </row>
    <row r="16" spans="1:7">
      <c r="A16" s="146"/>
      <c r="B16" s="18" t="s">
        <v>117</v>
      </c>
      <c r="C16" s="18" t="s">
        <v>99</v>
      </c>
      <c r="D16" s="19"/>
      <c r="E16" s="19"/>
      <c r="F16" s="19"/>
      <c r="G16" s="19" t="s">
        <v>251</v>
      </c>
    </row>
    <row r="17" spans="1:7">
      <c r="A17" s="135" t="s">
        <v>118</v>
      </c>
      <c r="B17" s="139" t="s">
        <v>119</v>
      </c>
      <c r="C17" s="139" t="s">
        <v>99</v>
      </c>
      <c r="D17" s="19" t="s">
        <v>120</v>
      </c>
      <c r="E17" s="19"/>
      <c r="F17" s="19"/>
      <c r="G17" s="19"/>
    </row>
    <row r="18" spans="1:7">
      <c r="A18" s="144"/>
      <c r="B18" s="141"/>
      <c r="C18" s="143"/>
      <c r="D18" s="19"/>
      <c r="E18" s="19"/>
      <c r="F18" s="19"/>
      <c r="G18" s="19"/>
    </row>
    <row r="19" spans="1:7">
      <c r="A19" s="136"/>
      <c r="B19" s="18" t="s">
        <v>121</v>
      </c>
      <c r="C19" s="18" t="s">
        <v>99</v>
      </c>
      <c r="D19" s="19" t="s">
        <v>122</v>
      </c>
      <c r="E19" s="19"/>
      <c r="F19" s="19"/>
      <c r="G19" s="19"/>
    </row>
    <row r="20" spans="1:7">
      <c r="A20" s="135" t="s">
        <v>123</v>
      </c>
      <c r="B20" s="139" t="s">
        <v>124</v>
      </c>
      <c r="C20" s="139" t="s">
        <v>99</v>
      </c>
      <c r="D20" s="19" t="s">
        <v>125</v>
      </c>
      <c r="E20" s="19"/>
      <c r="F20" s="19"/>
      <c r="G20" s="19"/>
    </row>
    <row r="21" spans="1:7">
      <c r="A21" s="144"/>
      <c r="B21" s="140"/>
      <c r="C21" s="142"/>
      <c r="D21" s="19" t="s">
        <v>126</v>
      </c>
      <c r="E21" s="19"/>
      <c r="F21" s="19"/>
      <c r="G21" s="19"/>
    </row>
    <row r="22" spans="1:7">
      <c r="A22" s="144"/>
      <c r="B22" s="140"/>
      <c r="C22" s="142"/>
      <c r="D22" s="19"/>
      <c r="E22" s="19" t="s">
        <v>127</v>
      </c>
      <c r="F22" s="19" t="s">
        <v>476</v>
      </c>
      <c r="G22" s="19"/>
    </row>
    <row r="23" spans="1:7">
      <c r="A23" s="144"/>
      <c r="B23" s="141"/>
      <c r="C23" s="143"/>
      <c r="D23" s="19"/>
      <c r="E23" s="19"/>
      <c r="F23" s="19"/>
      <c r="G23" s="19"/>
    </row>
    <row r="24" spans="1:7">
      <c r="A24" s="144"/>
      <c r="B24" s="18" t="s">
        <v>128</v>
      </c>
      <c r="C24" s="18" t="s">
        <v>99</v>
      </c>
      <c r="D24" s="19"/>
      <c r="E24" s="19" t="s">
        <v>129</v>
      </c>
      <c r="F24" s="19"/>
      <c r="G24" s="19"/>
    </row>
    <row r="25" spans="1:7">
      <c r="A25" s="144"/>
      <c r="B25" s="139" t="s">
        <v>130</v>
      </c>
      <c r="C25" s="139" t="s">
        <v>99</v>
      </c>
      <c r="D25" s="19"/>
      <c r="E25" s="19" t="s">
        <v>474</v>
      </c>
      <c r="F25" s="19"/>
      <c r="G25" s="19"/>
    </row>
    <row r="26" spans="1:7">
      <c r="A26" s="144"/>
      <c r="B26" s="140"/>
      <c r="C26" s="140"/>
      <c r="D26" s="19"/>
      <c r="E26" s="19"/>
      <c r="F26" s="19"/>
      <c r="G26" s="19"/>
    </row>
    <row r="27" spans="1:7">
      <c r="A27" s="144"/>
      <c r="B27" s="140"/>
      <c r="C27" s="140"/>
      <c r="D27" s="19"/>
      <c r="E27" s="19"/>
      <c r="F27" s="19"/>
      <c r="G27" s="19"/>
    </row>
    <row r="28" spans="1:7">
      <c r="A28" s="144"/>
      <c r="B28" s="141"/>
      <c r="C28" s="141"/>
      <c r="D28" s="19"/>
      <c r="E28" s="19"/>
      <c r="F28" s="19"/>
      <c r="G28" s="19"/>
    </row>
    <row r="29" spans="1:7">
      <c r="A29" s="144"/>
      <c r="B29" s="89" t="s">
        <v>477</v>
      </c>
      <c r="C29" s="89"/>
      <c r="D29" s="19"/>
      <c r="E29" s="19"/>
      <c r="F29" s="19"/>
      <c r="G29" s="19" t="s">
        <v>478</v>
      </c>
    </row>
    <row r="30" spans="1:7">
      <c r="A30" s="136"/>
      <c r="B30" s="18" t="s">
        <v>131</v>
      </c>
      <c r="C30" s="18" t="s">
        <v>99</v>
      </c>
      <c r="D30" s="19"/>
      <c r="E30" s="19" t="s">
        <v>132</v>
      </c>
      <c r="F30" s="19"/>
      <c r="G30" s="19"/>
    </row>
    <row r="31" spans="1:7" ht="77.25">
      <c r="A31" s="20" t="s">
        <v>182</v>
      </c>
      <c r="B31" s="18" t="s">
        <v>133</v>
      </c>
      <c r="C31" s="18" t="s">
        <v>99</v>
      </c>
      <c r="D31" s="19"/>
      <c r="E31" s="19" t="s">
        <v>134</v>
      </c>
      <c r="F31" s="19"/>
      <c r="G31" s="19"/>
    </row>
    <row r="32" spans="1:7" ht="26.25" customHeight="1">
      <c r="A32" s="20"/>
      <c r="B32" s="37" t="s">
        <v>135</v>
      </c>
      <c r="C32" s="139" t="s">
        <v>99</v>
      </c>
      <c r="D32" s="19" t="s">
        <v>136</v>
      </c>
      <c r="E32" s="19"/>
      <c r="F32" s="19" t="s">
        <v>180</v>
      </c>
      <c r="G32" s="19"/>
    </row>
    <row r="33" spans="1:7">
      <c r="A33" s="20"/>
      <c r="B33" s="38" t="s">
        <v>181</v>
      </c>
      <c r="C33" s="143"/>
      <c r="D33" s="19"/>
      <c r="E33" s="19"/>
      <c r="F33" s="19" t="s">
        <v>173</v>
      </c>
      <c r="G33" s="19"/>
    </row>
    <row r="34" spans="1:7">
      <c r="A34" s="21" t="s">
        <v>137</v>
      </c>
      <c r="B34" s="18" t="s">
        <v>138</v>
      </c>
      <c r="C34" s="18" t="s">
        <v>99</v>
      </c>
      <c r="D34" s="19"/>
      <c r="E34" s="19" t="s">
        <v>139</v>
      </c>
      <c r="F34" s="19"/>
      <c r="G34" s="19" t="s">
        <v>284</v>
      </c>
    </row>
    <row r="35" spans="1:7">
      <c r="A35" s="20"/>
      <c r="B35" s="18" t="s">
        <v>140</v>
      </c>
      <c r="C35" s="18" t="s">
        <v>99</v>
      </c>
      <c r="D35" s="19"/>
      <c r="E35" s="19"/>
      <c r="F35" s="19"/>
      <c r="G35" s="19" t="s">
        <v>272</v>
      </c>
    </row>
    <row r="36" spans="1:7">
      <c r="A36" s="31"/>
      <c r="B36" s="18" t="s">
        <v>141</v>
      </c>
      <c r="C36" s="18" t="s">
        <v>99</v>
      </c>
      <c r="D36" s="19"/>
      <c r="E36" s="19"/>
      <c r="F36" s="19"/>
      <c r="G36" s="19" t="s">
        <v>408</v>
      </c>
    </row>
    <row r="37" spans="1:7">
      <c r="A37" s="22"/>
      <c r="B37" s="18" t="s">
        <v>285</v>
      </c>
      <c r="C37" s="18" t="s">
        <v>99</v>
      </c>
      <c r="D37" s="19"/>
      <c r="E37" s="19"/>
      <c r="F37" s="19"/>
      <c r="G37" s="19" t="s">
        <v>407</v>
      </c>
    </row>
    <row r="39" spans="1:7">
      <c r="E39" s="23"/>
    </row>
  </sheetData>
  <mergeCells count="19">
    <mergeCell ref="C32:C33"/>
    <mergeCell ref="A13:A16"/>
    <mergeCell ref="B13:B14"/>
    <mergeCell ref="C13:C14"/>
    <mergeCell ref="A17:A19"/>
    <mergeCell ref="B17:B18"/>
    <mergeCell ref="C17:C18"/>
    <mergeCell ref="A20:A30"/>
    <mergeCell ref="B20:B23"/>
    <mergeCell ref="C20:C23"/>
    <mergeCell ref="B25:B28"/>
    <mergeCell ref="C25:C28"/>
    <mergeCell ref="A2:G2"/>
    <mergeCell ref="A4:A5"/>
    <mergeCell ref="A6:A12"/>
    <mergeCell ref="B6:B7"/>
    <mergeCell ref="C6:C7"/>
    <mergeCell ref="B9:B12"/>
    <mergeCell ref="C9:C12"/>
  </mergeCell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dimension ref="A1:C31"/>
  <sheetViews>
    <sheetView topLeftCell="A28" workbookViewId="0">
      <selection activeCell="A28" sqref="A28:A31"/>
    </sheetView>
  </sheetViews>
  <sheetFormatPr defaultRowHeight="15"/>
  <cols>
    <col min="1" max="1" width="21.42578125" customWidth="1"/>
    <col min="2" max="2" width="41.28515625" customWidth="1"/>
    <col min="3" max="3" width="70" customWidth="1"/>
    <col min="4" max="4" width="15.42578125" customWidth="1"/>
  </cols>
  <sheetData>
    <row r="1" spans="1:3" s="39" customFormat="1">
      <c r="A1" s="147" t="s">
        <v>403</v>
      </c>
      <c r="B1" s="147"/>
      <c r="C1" s="147"/>
    </row>
    <row r="2" spans="1:3">
      <c r="A2" s="148" t="s">
        <v>142</v>
      </c>
      <c r="B2" s="148"/>
      <c r="C2" s="148"/>
    </row>
    <row r="3" spans="1:3" ht="25.5" customHeight="1">
      <c r="A3" s="61" t="s">
        <v>2</v>
      </c>
      <c r="B3" s="61" t="s">
        <v>143</v>
      </c>
      <c r="C3" s="61" t="s">
        <v>146</v>
      </c>
    </row>
    <row r="4" spans="1:3" ht="25.5">
      <c r="A4" s="60" t="s">
        <v>324</v>
      </c>
      <c r="B4" s="58" t="s">
        <v>325</v>
      </c>
      <c r="C4" s="58" t="s">
        <v>326</v>
      </c>
    </row>
    <row r="5" spans="1:3">
      <c r="A5" s="60" t="s">
        <v>324</v>
      </c>
      <c r="B5" s="58" t="s">
        <v>327</v>
      </c>
      <c r="C5" s="58" t="s">
        <v>328</v>
      </c>
    </row>
    <row r="6" spans="1:3" ht="25.5">
      <c r="A6" s="60" t="s">
        <v>324</v>
      </c>
      <c r="B6" s="58" t="s">
        <v>329</v>
      </c>
      <c r="C6" s="58" t="s">
        <v>330</v>
      </c>
    </row>
    <row r="7" spans="1:3">
      <c r="A7" s="60" t="s">
        <v>324</v>
      </c>
      <c r="B7" s="58" t="s">
        <v>331</v>
      </c>
      <c r="C7" s="58" t="s">
        <v>314</v>
      </c>
    </row>
    <row r="8" spans="1:3" ht="25.5">
      <c r="A8" s="60" t="s">
        <v>324</v>
      </c>
      <c r="B8" s="58" t="s">
        <v>332</v>
      </c>
      <c r="C8" s="58" t="s">
        <v>333</v>
      </c>
    </row>
    <row r="9" spans="1:3" ht="38.25">
      <c r="A9" s="60" t="s">
        <v>324</v>
      </c>
      <c r="B9" s="58" t="s">
        <v>334</v>
      </c>
      <c r="C9" s="58" t="s">
        <v>335</v>
      </c>
    </row>
    <row r="10" spans="1:3">
      <c r="A10" s="60" t="s">
        <v>324</v>
      </c>
      <c r="B10" s="58" t="s">
        <v>336</v>
      </c>
      <c r="C10" s="58" t="s">
        <v>337</v>
      </c>
    </row>
    <row r="11" spans="1:3" ht="25.5">
      <c r="A11" s="60" t="s">
        <v>105</v>
      </c>
      <c r="B11" s="60" t="s">
        <v>338</v>
      </c>
      <c r="C11" s="58" t="s">
        <v>339</v>
      </c>
    </row>
    <row r="12" spans="1:3" ht="25.5">
      <c r="A12" s="60" t="s">
        <v>105</v>
      </c>
      <c r="B12" s="60" t="s">
        <v>340</v>
      </c>
      <c r="C12" s="58" t="s">
        <v>315</v>
      </c>
    </row>
    <row r="13" spans="1:3">
      <c r="A13" s="60" t="s">
        <v>105</v>
      </c>
      <c r="B13" s="60" t="s">
        <v>341</v>
      </c>
      <c r="C13" s="58" t="s">
        <v>342</v>
      </c>
    </row>
    <row r="14" spans="1:3" ht="25.5">
      <c r="A14" s="60" t="s">
        <v>105</v>
      </c>
      <c r="B14" s="60" t="s">
        <v>343</v>
      </c>
      <c r="C14" s="60" t="s">
        <v>344</v>
      </c>
    </row>
    <row r="15" spans="1:3">
      <c r="A15" s="60" t="s">
        <v>105</v>
      </c>
      <c r="B15" s="60" t="s">
        <v>345</v>
      </c>
      <c r="C15" s="60" t="s">
        <v>346</v>
      </c>
    </row>
    <row r="16" spans="1:3">
      <c r="A16" s="60" t="s">
        <v>16</v>
      </c>
      <c r="B16" s="149" t="s">
        <v>347</v>
      </c>
      <c r="C16" s="58" t="s">
        <v>145</v>
      </c>
    </row>
    <row r="17" spans="1:3" ht="25.5">
      <c r="A17" s="60" t="s">
        <v>16</v>
      </c>
      <c r="B17" s="150"/>
      <c r="C17" s="58" t="s">
        <v>348</v>
      </c>
    </row>
    <row r="18" spans="1:3">
      <c r="A18" s="60" t="s">
        <v>16</v>
      </c>
      <c r="B18" s="149" t="s">
        <v>349</v>
      </c>
      <c r="C18" s="60" t="s">
        <v>350</v>
      </c>
    </row>
    <row r="19" spans="1:3">
      <c r="A19" s="60" t="s">
        <v>16</v>
      </c>
      <c r="B19" s="150"/>
      <c r="C19" s="62" t="s">
        <v>351</v>
      </c>
    </row>
    <row r="20" spans="1:3">
      <c r="A20" s="151" t="s">
        <v>352</v>
      </c>
      <c r="B20" s="46" t="s">
        <v>353</v>
      </c>
      <c r="C20" s="46" t="s">
        <v>354</v>
      </c>
    </row>
    <row r="21" spans="1:3">
      <c r="A21" s="151"/>
      <c r="B21" s="46" t="s">
        <v>355</v>
      </c>
      <c r="C21" s="46" t="s">
        <v>356</v>
      </c>
    </row>
    <row r="22" spans="1:3" ht="26.25">
      <c r="A22" s="151"/>
      <c r="B22" s="46" t="s">
        <v>357</v>
      </c>
      <c r="C22" s="41" t="s">
        <v>358</v>
      </c>
    </row>
    <row r="23" spans="1:3">
      <c r="A23" s="151"/>
      <c r="B23" s="46" t="s">
        <v>359</v>
      </c>
      <c r="C23" s="46" t="s">
        <v>360</v>
      </c>
    </row>
    <row r="24" spans="1:3" ht="25.5">
      <c r="A24" s="131" t="s">
        <v>361</v>
      </c>
      <c r="B24" s="63" t="s">
        <v>362</v>
      </c>
      <c r="C24" s="60" t="s">
        <v>363</v>
      </c>
    </row>
    <row r="25" spans="1:3" ht="38.25">
      <c r="A25" s="131"/>
      <c r="B25" s="63" t="s">
        <v>364</v>
      </c>
      <c r="C25" s="60" t="s">
        <v>365</v>
      </c>
    </row>
    <row r="26" spans="1:3" ht="25.5">
      <c r="A26" s="131"/>
      <c r="B26" s="63" t="s">
        <v>366</v>
      </c>
      <c r="C26" s="60" t="s">
        <v>367</v>
      </c>
    </row>
    <row r="27" spans="1:3" ht="77.25">
      <c r="A27" s="131"/>
      <c r="B27" s="63" t="s">
        <v>368</v>
      </c>
      <c r="C27" s="63" t="s">
        <v>369</v>
      </c>
    </row>
    <row r="28" spans="1:3" ht="26.25">
      <c r="A28" s="131" t="s">
        <v>370</v>
      </c>
      <c r="B28" s="63" t="s">
        <v>371</v>
      </c>
      <c r="C28" s="63" t="s">
        <v>372</v>
      </c>
    </row>
    <row r="29" spans="1:3">
      <c r="A29" s="131"/>
      <c r="B29" s="63" t="s">
        <v>373</v>
      </c>
      <c r="C29" s="63" t="s">
        <v>374</v>
      </c>
    </row>
    <row r="30" spans="1:3" ht="51.75">
      <c r="A30" s="131"/>
      <c r="B30" s="63" t="s">
        <v>375</v>
      </c>
      <c r="C30" s="63" t="s">
        <v>376</v>
      </c>
    </row>
    <row r="31" spans="1:3" ht="191.25">
      <c r="A31" s="131"/>
      <c r="B31" s="35" t="s">
        <v>377</v>
      </c>
      <c r="C31" s="47" t="s">
        <v>470</v>
      </c>
    </row>
  </sheetData>
  <mergeCells count="7">
    <mergeCell ref="A24:A27"/>
    <mergeCell ref="A28:A31"/>
    <mergeCell ref="A1:C1"/>
    <mergeCell ref="A2:C2"/>
    <mergeCell ref="B16:B17"/>
    <mergeCell ref="B18:B19"/>
    <mergeCell ref="A20:A23"/>
  </mergeCells>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dimension ref="A1:C36"/>
  <sheetViews>
    <sheetView tabSelected="1" topLeftCell="A13" workbookViewId="0">
      <selection activeCell="B17" sqref="B17:B23"/>
    </sheetView>
  </sheetViews>
  <sheetFormatPr defaultRowHeight="15"/>
  <cols>
    <col min="1" max="1" width="17.28515625" customWidth="1"/>
    <col min="2" max="2" width="31.28515625" customWidth="1"/>
    <col min="3" max="3" width="48.85546875" customWidth="1"/>
  </cols>
  <sheetData>
    <row r="1" spans="1:3" s="39" customFormat="1">
      <c r="A1" s="147" t="s">
        <v>404</v>
      </c>
      <c r="B1" s="147"/>
      <c r="C1" s="147"/>
    </row>
    <row r="2" spans="1:3">
      <c r="A2" s="148" t="s">
        <v>142</v>
      </c>
      <c r="B2" s="148"/>
      <c r="C2" s="148"/>
    </row>
    <row r="3" spans="1:3">
      <c r="A3" s="61" t="s">
        <v>2</v>
      </c>
      <c r="B3" s="61" t="s">
        <v>143</v>
      </c>
      <c r="C3" s="61" t="s">
        <v>146</v>
      </c>
    </row>
    <row r="4" spans="1:3">
      <c r="A4" s="131" t="s">
        <v>114</v>
      </c>
      <c r="B4" s="153" t="s">
        <v>310</v>
      </c>
      <c r="C4" s="41" t="s">
        <v>147</v>
      </c>
    </row>
    <row r="5" spans="1:3">
      <c r="A5" s="131"/>
      <c r="B5" s="153"/>
      <c r="C5" s="41" t="s">
        <v>148</v>
      </c>
    </row>
    <row r="6" spans="1:3">
      <c r="A6" s="131"/>
      <c r="B6" s="153"/>
      <c r="C6" s="41" t="s">
        <v>149</v>
      </c>
    </row>
    <row r="7" spans="1:3">
      <c r="A7" s="131"/>
      <c r="B7" s="153"/>
      <c r="C7" s="41" t="s">
        <v>150</v>
      </c>
    </row>
    <row r="8" spans="1:3">
      <c r="A8" s="131"/>
      <c r="B8" s="153"/>
      <c r="C8" s="41" t="s">
        <v>152</v>
      </c>
    </row>
    <row r="9" spans="1:3">
      <c r="A9" s="131"/>
      <c r="B9" s="153"/>
      <c r="C9" s="41" t="s">
        <v>151</v>
      </c>
    </row>
    <row r="10" spans="1:3" ht="25.5">
      <c r="A10" s="131"/>
      <c r="B10" s="96" t="s">
        <v>305</v>
      </c>
      <c r="C10" s="5" t="s">
        <v>378</v>
      </c>
    </row>
    <row r="11" spans="1:3" ht="25.5">
      <c r="A11" s="131"/>
      <c r="B11" s="56" t="s">
        <v>379</v>
      </c>
      <c r="C11" s="5" t="s">
        <v>380</v>
      </c>
    </row>
    <row r="12" spans="1:3">
      <c r="A12" s="131"/>
      <c r="B12" s="56" t="s">
        <v>306</v>
      </c>
      <c r="C12" s="5" t="s">
        <v>307</v>
      </c>
    </row>
    <row r="13" spans="1:3" ht="102.75">
      <c r="A13" s="131" t="s">
        <v>139</v>
      </c>
      <c r="B13" s="64" t="s">
        <v>312</v>
      </c>
      <c r="C13" s="65" t="s">
        <v>311</v>
      </c>
    </row>
    <row r="14" spans="1:3" ht="102.75">
      <c r="A14" s="131"/>
      <c r="B14" s="64" t="s">
        <v>316</v>
      </c>
      <c r="C14" s="65" t="s">
        <v>381</v>
      </c>
    </row>
    <row r="15" spans="1:3">
      <c r="A15" s="131"/>
      <c r="B15" s="64" t="s">
        <v>153</v>
      </c>
      <c r="C15" s="65" t="s">
        <v>153</v>
      </c>
    </row>
    <row r="16" spans="1:3">
      <c r="A16" s="131"/>
      <c r="B16" s="64" t="s">
        <v>313</v>
      </c>
      <c r="C16" s="65" t="s">
        <v>154</v>
      </c>
    </row>
    <row r="17" spans="1:3">
      <c r="A17" s="131" t="s">
        <v>382</v>
      </c>
      <c r="B17" s="151" t="s">
        <v>383</v>
      </c>
      <c r="C17" s="65" t="s">
        <v>384</v>
      </c>
    </row>
    <row r="18" spans="1:3" ht="25.5">
      <c r="A18" s="131"/>
      <c r="B18" s="151"/>
      <c r="C18" s="59" t="s">
        <v>385</v>
      </c>
    </row>
    <row r="19" spans="1:3">
      <c r="A19" s="131"/>
      <c r="B19" s="151"/>
      <c r="C19" s="41" t="s">
        <v>155</v>
      </c>
    </row>
    <row r="20" spans="1:3">
      <c r="A20" s="131"/>
      <c r="B20" s="151"/>
      <c r="C20" s="41" t="s">
        <v>156</v>
      </c>
    </row>
    <row r="21" spans="1:3">
      <c r="A21" s="131"/>
      <c r="B21" s="151"/>
      <c r="C21" s="41" t="s">
        <v>157</v>
      </c>
    </row>
    <row r="22" spans="1:3">
      <c r="A22" s="131"/>
      <c r="B22" s="151"/>
      <c r="C22" s="41" t="s">
        <v>158</v>
      </c>
    </row>
    <row r="23" spans="1:3" ht="26.25">
      <c r="A23" s="131"/>
      <c r="B23" s="151"/>
      <c r="C23" s="87" t="s">
        <v>429</v>
      </c>
    </row>
    <row r="24" spans="1:3">
      <c r="A24" s="131" t="s">
        <v>386</v>
      </c>
      <c r="B24" s="151" t="s">
        <v>444</v>
      </c>
      <c r="C24" s="59" t="s">
        <v>322</v>
      </c>
    </row>
    <row r="25" spans="1:3">
      <c r="A25" s="131"/>
      <c r="B25" s="151"/>
      <c r="C25" s="66" t="s">
        <v>323</v>
      </c>
    </row>
    <row r="26" spans="1:3">
      <c r="A26" s="131"/>
      <c r="B26" s="151"/>
      <c r="C26" s="66" t="s">
        <v>159</v>
      </c>
    </row>
    <row r="27" spans="1:3" ht="25.5">
      <c r="A27" s="131"/>
      <c r="B27" s="151"/>
      <c r="C27" s="67" t="s">
        <v>387</v>
      </c>
    </row>
    <row r="28" spans="1:3" ht="26.25" customHeight="1">
      <c r="A28" s="130" t="s">
        <v>84</v>
      </c>
      <c r="B28" s="152" t="s">
        <v>388</v>
      </c>
      <c r="C28" s="68" t="s">
        <v>389</v>
      </c>
    </row>
    <row r="29" spans="1:3">
      <c r="A29" s="130"/>
      <c r="B29" s="152"/>
      <c r="C29" s="68" t="s">
        <v>390</v>
      </c>
    </row>
    <row r="30" spans="1:3">
      <c r="A30" s="130"/>
      <c r="B30" s="152" t="s">
        <v>84</v>
      </c>
      <c r="C30" s="68" t="s">
        <v>160</v>
      </c>
    </row>
    <row r="31" spans="1:3">
      <c r="A31" s="130"/>
      <c r="B31" s="152"/>
      <c r="C31" s="68" t="s">
        <v>161</v>
      </c>
    </row>
    <row r="32" spans="1:3">
      <c r="A32" s="130"/>
      <c r="B32" s="152"/>
      <c r="C32" s="68" t="s">
        <v>162</v>
      </c>
    </row>
    <row r="33" spans="1:3">
      <c r="A33" s="130"/>
      <c r="B33" s="152"/>
      <c r="C33" s="68" t="s">
        <v>163</v>
      </c>
    </row>
    <row r="34" spans="1:3">
      <c r="A34" s="130"/>
      <c r="B34" s="152"/>
      <c r="C34" s="68" t="s">
        <v>164</v>
      </c>
    </row>
    <row r="35" spans="1:3">
      <c r="A35" s="130"/>
      <c r="B35" s="152"/>
      <c r="C35" s="68" t="s">
        <v>165</v>
      </c>
    </row>
    <row r="36" spans="1:3">
      <c r="A36" s="130"/>
      <c r="B36" s="152"/>
      <c r="C36" s="68" t="s">
        <v>166</v>
      </c>
    </row>
  </sheetData>
  <mergeCells count="12">
    <mergeCell ref="A1:C1"/>
    <mergeCell ref="A2:C2"/>
    <mergeCell ref="B30:B36"/>
    <mergeCell ref="A24:A27"/>
    <mergeCell ref="B24:B27"/>
    <mergeCell ref="A28:A36"/>
    <mergeCell ref="B28:B29"/>
    <mergeCell ref="A4:A12"/>
    <mergeCell ref="B4:B9"/>
    <mergeCell ref="A13:A16"/>
    <mergeCell ref="A17:A23"/>
    <mergeCell ref="B17:B23"/>
  </mergeCell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dimension ref="A1:C60"/>
  <sheetViews>
    <sheetView topLeftCell="A31" workbookViewId="0">
      <selection activeCell="C35" sqref="C35"/>
    </sheetView>
  </sheetViews>
  <sheetFormatPr defaultRowHeight="15"/>
  <cols>
    <col min="1" max="1" width="30.28515625" customWidth="1"/>
    <col min="2" max="2" width="24.7109375" customWidth="1"/>
    <col min="3" max="3" width="56.28515625" customWidth="1"/>
    <col min="4" max="4" width="27.28515625" customWidth="1"/>
    <col min="5" max="5" width="49.7109375" customWidth="1"/>
  </cols>
  <sheetData>
    <row r="1" spans="1:3" s="39" customFormat="1">
      <c r="A1" s="147" t="s">
        <v>249</v>
      </c>
      <c r="B1" s="147"/>
      <c r="C1" s="147"/>
    </row>
    <row r="2" spans="1:3">
      <c r="A2" s="148" t="s">
        <v>142</v>
      </c>
      <c r="B2" s="148"/>
      <c r="C2" s="148"/>
    </row>
    <row r="3" spans="1:3">
      <c r="A3" s="156" t="s">
        <v>2</v>
      </c>
      <c r="B3" s="156" t="s">
        <v>143</v>
      </c>
      <c r="C3" s="156" t="s">
        <v>144</v>
      </c>
    </row>
    <row r="4" spans="1:3">
      <c r="A4" s="157"/>
      <c r="B4" s="157"/>
      <c r="C4" s="157"/>
    </row>
    <row r="5" spans="1:3" ht="38.25">
      <c r="A5" s="158" t="s">
        <v>169</v>
      </c>
      <c r="B5" s="154" t="s">
        <v>183</v>
      </c>
      <c r="C5" s="42" t="s">
        <v>184</v>
      </c>
    </row>
    <row r="6" spans="1:3">
      <c r="A6" s="158"/>
      <c r="B6" s="154"/>
      <c r="C6" s="42" t="s">
        <v>185</v>
      </c>
    </row>
    <row r="7" spans="1:3" ht="25.5">
      <c r="A7" s="158"/>
      <c r="B7" s="42" t="s">
        <v>186</v>
      </c>
      <c r="C7" s="42" t="s">
        <v>187</v>
      </c>
    </row>
    <row r="8" spans="1:3">
      <c r="A8" s="158"/>
      <c r="B8" s="154" t="s">
        <v>188</v>
      </c>
      <c r="C8" s="42" t="s">
        <v>189</v>
      </c>
    </row>
    <row r="9" spans="1:3">
      <c r="A9" s="158"/>
      <c r="B9" s="154"/>
      <c r="C9" s="42" t="s">
        <v>190</v>
      </c>
    </row>
    <row r="10" spans="1:3" ht="25.5">
      <c r="A10" s="158"/>
      <c r="B10" s="154"/>
      <c r="C10" s="42" t="s">
        <v>191</v>
      </c>
    </row>
    <row r="11" spans="1:3">
      <c r="A11" s="158"/>
      <c r="B11" s="159" t="s">
        <v>192</v>
      </c>
      <c r="C11" s="42" t="s">
        <v>193</v>
      </c>
    </row>
    <row r="12" spans="1:3">
      <c r="A12" s="158"/>
      <c r="B12" s="159"/>
      <c r="C12" s="42" t="s">
        <v>194</v>
      </c>
    </row>
    <row r="13" spans="1:3">
      <c r="A13" s="158"/>
      <c r="B13" s="159"/>
      <c r="C13" s="42" t="s">
        <v>195</v>
      </c>
    </row>
    <row r="14" spans="1:3" ht="25.5">
      <c r="A14" s="158"/>
      <c r="B14" s="159"/>
      <c r="C14" s="42" t="s">
        <v>196</v>
      </c>
    </row>
    <row r="15" spans="1:3">
      <c r="A15" s="158"/>
      <c r="B15" s="159"/>
      <c r="C15" s="42" t="s">
        <v>197</v>
      </c>
    </row>
    <row r="16" spans="1:3">
      <c r="A16" s="158"/>
      <c r="B16" s="159"/>
      <c r="C16" s="42" t="s">
        <v>198</v>
      </c>
    </row>
    <row r="17" spans="1:3">
      <c r="A17" s="158"/>
      <c r="B17" s="159"/>
      <c r="C17" s="42" t="s">
        <v>199</v>
      </c>
    </row>
    <row r="18" spans="1:3">
      <c r="A18" s="158"/>
      <c r="B18" s="159"/>
      <c r="C18" s="42" t="s">
        <v>200</v>
      </c>
    </row>
    <row r="19" spans="1:3">
      <c r="A19" s="158"/>
      <c r="B19" s="154" t="s">
        <v>201</v>
      </c>
      <c r="C19" s="42" t="s">
        <v>202</v>
      </c>
    </row>
    <row r="20" spans="1:3" ht="25.5">
      <c r="A20" s="158"/>
      <c r="B20" s="154"/>
      <c r="C20" s="42" t="s">
        <v>203</v>
      </c>
    </row>
    <row r="21" spans="1:3">
      <c r="A21" s="158"/>
      <c r="B21" s="154"/>
      <c r="C21" s="42" t="s">
        <v>204</v>
      </c>
    </row>
    <row r="22" spans="1:3" ht="25.5">
      <c r="A22" s="158"/>
      <c r="B22" s="154"/>
      <c r="C22" s="42" t="s">
        <v>205</v>
      </c>
    </row>
    <row r="23" spans="1:3">
      <c r="A23" s="158"/>
      <c r="B23" s="154"/>
      <c r="C23" s="42" t="s">
        <v>206</v>
      </c>
    </row>
    <row r="24" spans="1:3">
      <c r="A24" s="158"/>
      <c r="B24" s="154"/>
      <c r="C24" s="42" t="s">
        <v>207</v>
      </c>
    </row>
    <row r="25" spans="1:3" ht="38.25">
      <c r="A25" s="158"/>
      <c r="B25" s="154"/>
      <c r="C25" s="42" t="s">
        <v>208</v>
      </c>
    </row>
    <row r="26" spans="1:3" ht="25.5">
      <c r="A26" s="158"/>
      <c r="B26" s="42" t="s">
        <v>209</v>
      </c>
      <c r="C26" s="42" t="s">
        <v>210</v>
      </c>
    </row>
    <row r="27" spans="1:3" ht="38.25">
      <c r="A27" s="155" t="s">
        <v>448</v>
      </c>
      <c r="B27" s="42" t="s">
        <v>221</v>
      </c>
      <c r="C27" s="43" t="s">
        <v>211</v>
      </c>
    </row>
    <row r="28" spans="1:3" ht="38.25">
      <c r="A28" s="155"/>
      <c r="B28" s="42" t="s">
        <v>221</v>
      </c>
      <c r="C28" s="43" t="s">
        <v>212</v>
      </c>
    </row>
    <row r="29" spans="1:3" ht="26.25" customHeight="1">
      <c r="A29" s="155"/>
      <c r="B29" s="42" t="s">
        <v>222</v>
      </c>
      <c r="C29" s="43" t="s">
        <v>213</v>
      </c>
    </row>
    <row r="30" spans="1:3" ht="114.75">
      <c r="A30" s="155"/>
      <c r="B30" s="42" t="s">
        <v>223</v>
      </c>
      <c r="C30" s="43" t="s">
        <v>214</v>
      </c>
    </row>
    <row r="31" spans="1:3" ht="63.75">
      <c r="A31" s="155"/>
      <c r="B31" s="42" t="s">
        <v>222</v>
      </c>
      <c r="C31" s="43" t="s">
        <v>215</v>
      </c>
    </row>
    <row r="32" spans="1:3" ht="38.25">
      <c r="A32" s="155"/>
      <c r="B32" s="154" t="s">
        <v>226</v>
      </c>
      <c r="C32" s="43" t="s">
        <v>216</v>
      </c>
    </row>
    <row r="33" spans="1:3" ht="25.5">
      <c r="A33" s="155"/>
      <c r="B33" s="154"/>
      <c r="C33" s="43" t="s">
        <v>217</v>
      </c>
    </row>
    <row r="34" spans="1:3" ht="25.5">
      <c r="A34" s="155"/>
      <c r="B34" s="154"/>
      <c r="C34" s="43" t="s">
        <v>218</v>
      </c>
    </row>
    <row r="35" spans="1:3" ht="51">
      <c r="A35" s="155"/>
      <c r="B35" s="42" t="s">
        <v>224</v>
      </c>
      <c r="C35" s="43" t="s">
        <v>219</v>
      </c>
    </row>
    <row r="36" spans="1:3" ht="25.5">
      <c r="A36" s="155"/>
      <c r="B36" s="42" t="s">
        <v>225</v>
      </c>
      <c r="C36" s="43" t="s">
        <v>220</v>
      </c>
    </row>
    <row r="37" spans="1:3" ht="30" customHeight="1">
      <c r="A37" s="162" t="s">
        <v>431</v>
      </c>
      <c r="B37" s="160" t="s">
        <v>435</v>
      </c>
      <c r="C37" s="43" t="s">
        <v>437</v>
      </c>
    </row>
    <row r="38" spans="1:3">
      <c r="A38" s="162"/>
      <c r="B38" s="160"/>
      <c r="C38" s="43" t="s">
        <v>432</v>
      </c>
    </row>
    <row r="39" spans="1:3" ht="25.5">
      <c r="A39" s="162"/>
      <c r="B39" s="160"/>
      <c r="C39" s="43" t="s">
        <v>433</v>
      </c>
    </row>
    <row r="40" spans="1:3">
      <c r="A40" s="162"/>
      <c r="B40" s="160"/>
      <c r="C40" s="43" t="s">
        <v>434</v>
      </c>
    </row>
    <row r="41" spans="1:3">
      <c r="A41" s="162"/>
      <c r="B41" s="160"/>
      <c r="C41" s="43" t="s">
        <v>436</v>
      </c>
    </row>
    <row r="42" spans="1:3" ht="30" customHeight="1">
      <c r="A42" s="162"/>
      <c r="B42" s="161" t="s">
        <v>430</v>
      </c>
      <c r="C42" s="43" t="s">
        <v>441</v>
      </c>
    </row>
    <row r="43" spans="1:3" ht="25.5">
      <c r="A43" s="162"/>
      <c r="B43" s="161"/>
      <c r="C43" s="43" t="s">
        <v>442</v>
      </c>
    </row>
    <row r="44" spans="1:3" ht="25.5">
      <c r="A44" s="162"/>
      <c r="B44" s="161"/>
      <c r="C44" s="43" t="s">
        <v>438</v>
      </c>
    </row>
    <row r="45" spans="1:3">
      <c r="A45" s="162"/>
      <c r="B45" s="161"/>
      <c r="C45" s="43" t="s">
        <v>443</v>
      </c>
    </row>
    <row r="46" spans="1:3" ht="51">
      <c r="A46" s="162"/>
      <c r="B46" s="161"/>
      <c r="C46" s="43" t="s">
        <v>439</v>
      </c>
    </row>
    <row r="47" spans="1:3">
      <c r="A47" s="162"/>
      <c r="B47" s="161"/>
      <c r="C47" s="43" t="s">
        <v>440</v>
      </c>
    </row>
    <row r="48" spans="1:3" ht="89.25">
      <c r="A48" s="130" t="s">
        <v>173</v>
      </c>
      <c r="B48" s="42" t="s">
        <v>229</v>
      </c>
      <c r="C48" s="43" t="s">
        <v>304</v>
      </c>
    </row>
    <row r="49" spans="1:3" ht="25.5">
      <c r="A49" s="130"/>
      <c r="B49" s="42" t="s">
        <v>228</v>
      </c>
      <c r="C49" s="43" t="s">
        <v>232</v>
      </c>
    </row>
    <row r="50" spans="1:3" ht="26.25">
      <c r="A50" s="130"/>
      <c r="B50" s="42" t="s">
        <v>231</v>
      </c>
      <c r="C50" s="41" t="s">
        <v>230</v>
      </c>
    </row>
    <row r="51" spans="1:3" ht="38.25">
      <c r="A51" s="130"/>
      <c r="B51" s="42" t="s">
        <v>233</v>
      </c>
      <c r="C51" s="43" t="s">
        <v>234</v>
      </c>
    </row>
    <row r="52" spans="1:3" ht="38.25">
      <c r="A52" s="130"/>
      <c r="B52" s="42" t="s">
        <v>235</v>
      </c>
      <c r="C52" s="43" t="s">
        <v>237</v>
      </c>
    </row>
    <row r="53" spans="1:3" ht="51">
      <c r="A53" s="130"/>
      <c r="B53" s="42" t="s">
        <v>238</v>
      </c>
      <c r="C53" s="43" t="s">
        <v>239</v>
      </c>
    </row>
    <row r="54" spans="1:3">
      <c r="A54" s="130"/>
      <c r="B54" s="42" t="s">
        <v>236</v>
      </c>
      <c r="C54" s="43" t="s">
        <v>240</v>
      </c>
    </row>
    <row r="55" spans="1:3" ht="25.5">
      <c r="A55" s="130"/>
      <c r="B55" s="42" t="s">
        <v>227</v>
      </c>
      <c r="C55" s="43" t="s">
        <v>241</v>
      </c>
    </row>
    <row r="56" spans="1:3">
      <c r="A56" s="131" t="s">
        <v>174</v>
      </c>
      <c r="B56" s="42" t="s">
        <v>242</v>
      </c>
      <c r="C56" s="43" t="s">
        <v>243</v>
      </c>
    </row>
    <row r="57" spans="1:3">
      <c r="A57" s="131"/>
      <c r="B57" s="55" t="s">
        <v>302</v>
      </c>
      <c r="C57" s="43" t="s">
        <v>303</v>
      </c>
    </row>
    <row r="58" spans="1:3">
      <c r="A58" s="131"/>
      <c r="B58" s="42" t="s">
        <v>244</v>
      </c>
      <c r="C58" s="43" t="s">
        <v>245</v>
      </c>
    </row>
    <row r="59" spans="1:3">
      <c r="A59" s="131"/>
      <c r="B59" s="42" t="s">
        <v>246</v>
      </c>
      <c r="C59" s="43" t="s">
        <v>248</v>
      </c>
    </row>
    <row r="60" spans="1:3" ht="25.5">
      <c r="A60" s="131"/>
      <c r="B60" s="42" t="s">
        <v>247</v>
      </c>
      <c r="C60" s="43" t="s">
        <v>301</v>
      </c>
    </row>
  </sheetData>
  <mergeCells count="17">
    <mergeCell ref="A56:A60"/>
    <mergeCell ref="A3:A4"/>
    <mergeCell ref="B3:B4"/>
    <mergeCell ref="C3:C4"/>
    <mergeCell ref="A5:A26"/>
    <mergeCell ref="B5:B6"/>
    <mergeCell ref="B8:B10"/>
    <mergeCell ref="B11:B18"/>
    <mergeCell ref="B19:B25"/>
    <mergeCell ref="B37:B41"/>
    <mergeCell ref="B42:B47"/>
    <mergeCell ref="A37:A47"/>
    <mergeCell ref="A1:C1"/>
    <mergeCell ref="A2:C2"/>
    <mergeCell ref="B32:B34"/>
    <mergeCell ref="A27:A36"/>
    <mergeCell ref="A48:A55"/>
  </mergeCells>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dimension ref="A1:D33"/>
  <sheetViews>
    <sheetView topLeftCell="A14" workbookViewId="0">
      <selection activeCell="B17" sqref="B17"/>
    </sheetView>
  </sheetViews>
  <sheetFormatPr defaultRowHeight="15"/>
  <cols>
    <col min="1" max="1" width="28" customWidth="1"/>
    <col min="2" max="2" width="30.42578125" customWidth="1"/>
    <col min="3" max="3" width="73.42578125" customWidth="1"/>
    <col min="4" max="4" width="39.28515625" customWidth="1"/>
    <col min="5" max="5" width="42.140625" customWidth="1"/>
  </cols>
  <sheetData>
    <row r="1" spans="1:4">
      <c r="A1" s="147" t="s">
        <v>250</v>
      </c>
      <c r="B1" s="147"/>
      <c r="C1" s="147"/>
      <c r="D1" s="24"/>
    </row>
    <row r="2" spans="1:4">
      <c r="A2" s="148" t="s">
        <v>142</v>
      </c>
      <c r="B2" s="148"/>
      <c r="C2" s="148"/>
      <c r="D2" s="24"/>
    </row>
    <row r="3" spans="1:4">
      <c r="A3" s="170" t="s">
        <v>2</v>
      </c>
      <c r="B3" s="170" t="s">
        <v>143</v>
      </c>
      <c r="C3" s="170" t="s">
        <v>144</v>
      </c>
    </row>
    <row r="4" spans="1:4">
      <c r="A4" s="170"/>
      <c r="B4" s="170"/>
      <c r="C4" s="170"/>
    </row>
    <row r="5" spans="1:4">
      <c r="A5" s="169" t="s">
        <v>287</v>
      </c>
      <c r="B5" s="167" t="s">
        <v>260</v>
      </c>
      <c r="C5" s="40" t="s">
        <v>252</v>
      </c>
    </row>
    <row r="6" spans="1:4" ht="38.25">
      <c r="A6" s="169"/>
      <c r="B6" s="167"/>
      <c r="C6" s="40" t="s">
        <v>253</v>
      </c>
    </row>
    <row r="7" spans="1:4" ht="38.25">
      <c r="A7" s="169"/>
      <c r="B7" s="167"/>
      <c r="C7" s="40" t="s">
        <v>254</v>
      </c>
    </row>
    <row r="8" spans="1:4" ht="102">
      <c r="A8" s="169"/>
      <c r="B8" s="167"/>
      <c r="C8" s="57" t="s">
        <v>308</v>
      </c>
    </row>
    <row r="9" spans="1:4" ht="38.25" customHeight="1">
      <c r="A9" s="169"/>
      <c r="B9" s="167"/>
      <c r="C9" s="40" t="s">
        <v>255</v>
      </c>
    </row>
    <row r="10" spans="1:4" ht="25.5">
      <c r="A10" s="169"/>
      <c r="B10" s="168" t="s">
        <v>261</v>
      </c>
      <c r="C10" s="40" t="s">
        <v>256</v>
      </c>
    </row>
    <row r="11" spans="1:4" ht="51">
      <c r="A11" s="169"/>
      <c r="B11" s="168"/>
      <c r="C11" s="40" t="s">
        <v>257</v>
      </c>
    </row>
    <row r="12" spans="1:4" ht="38.25">
      <c r="A12" s="169"/>
      <c r="B12" s="173" t="s">
        <v>262</v>
      </c>
      <c r="C12" s="40" t="s">
        <v>258</v>
      </c>
    </row>
    <row r="13" spans="1:4" ht="61.5" customHeight="1">
      <c r="A13" s="169"/>
      <c r="B13" s="174"/>
      <c r="C13" s="40" t="s">
        <v>317</v>
      </c>
    </row>
    <row r="14" spans="1:4" ht="105.75" customHeight="1">
      <c r="A14" s="169"/>
      <c r="B14" s="175"/>
      <c r="C14" s="40" t="s">
        <v>309</v>
      </c>
    </row>
    <row r="15" spans="1:4" ht="105.75" customHeight="1">
      <c r="A15" s="90"/>
      <c r="B15" s="40" t="s">
        <v>479</v>
      </c>
      <c r="C15" s="40" t="s">
        <v>259</v>
      </c>
    </row>
    <row r="16" spans="1:4" ht="105.75" customHeight="1">
      <c r="A16" s="88" t="s">
        <v>471</v>
      </c>
      <c r="B16" s="97" t="s">
        <v>445</v>
      </c>
      <c r="C16" s="40" t="s">
        <v>446</v>
      </c>
    </row>
    <row r="17" spans="1:3" ht="25.5">
      <c r="A17" s="166" t="s">
        <v>282</v>
      </c>
      <c r="B17" s="40" t="s">
        <v>277</v>
      </c>
      <c r="C17" s="40" t="s">
        <v>273</v>
      </c>
    </row>
    <row r="18" spans="1:3" ht="178.5">
      <c r="A18" s="166"/>
      <c r="B18" s="40" t="s">
        <v>391</v>
      </c>
      <c r="C18" s="40" t="s">
        <v>447</v>
      </c>
    </row>
    <row r="19" spans="1:3" ht="89.25">
      <c r="A19" s="166"/>
      <c r="B19" s="40" t="s">
        <v>278</v>
      </c>
      <c r="C19" s="40" t="s">
        <v>392</v>
      </c>
    </row>
    <row r="20" spans="1:3" ht="38.25">
      <c r="A20" s="166"/>
      <c r="B20" s="40" t="s">
        <v>279</v>
      </c>
      <c r="C20" s="40" t="s">
        <v>274</v>
      </c>
    </row>
    <row r="21" spans="1:3" ht="38.25">
      <c r="A21" s="166"/>
      <c r="B21" s="40" t="s">
        <v>280</v>
      </c>
      <c r="C21" s="40" t="s">
        <v>275</v>
      </c>
    </row>
    <row r="22" spans="1:3" ht="51">
      <c r="A22" s="166"/>
      <c r="B22" s="40" t="s">
        <v>281</v>
      </c>
      <c r="C22" s="40" t="s">
        <v>276</v>
      </c>
    </row>
    <row r="23" spans="1:3" ht="77.25" customHeight="1">
      <c r="A23" s="166" t="s">
        <v>393</v>
      </c>
      <c r="B23" s="70" t="s">
        <v>394</v>
      </c>
      <c r="C23" s="69" t="s">
        <v>397</v>
      </c>
    </row>
    <row r="24" spans="1:3" ht="25.5">
      <c r="A24" s="166"/>
      <c r="B24" s="171" t="s">
        <v>395</v>
      </c>
      <c r="C24" s="71" t="s">
        <v>396</v>
      </c>
    </row>
    <row r="25" spans="1:3">
      <c r="A25" s="166"/>
      <c r="B25" s="172"/>
      <c r="C25" s="47" t="s">
        <v>398</v>
      </c>
    </row>
    <row r="26" spans="1:3" ht="25.5">
      <c r="A26" s="163" t="s">
        <v>402</v>
      </c>
      <c r="B26" s="47" t="s">
        <v>263</v>
      </c>
      <c r="C26" s="48" t="s">
        <v>264</v>
      </c>
    </row>
    <row r="27" spans="1:3">
      <c r="A27" s="164"/>
      <c r="B27" s="47" t="s">
        <v>318</v>
      </c>
      <c r="C27" s="48" t="s">
        <v>319</v>
      </c>
    </row>
    <row r="28" spans="1:3" ht="25.5">
      <c r="A28" s="164"/>
      <c r="B28" s="47" t="s">
        <v>265</v>
      </c>
      <c r="C28" s="48" t="s">
        <v>266</v>
      </c>
    </row>
    <row r="29" spans="1:3">
      <c r="A29" s="164"/>
      <c r="B29" s="47" t="s">
        <v>320</v>
      </c>
      <c r="C29" s="48" t="s">
        <v>321</v>
      </c>
    </row>
    <row r="30" spans="1:3" ht="38.25">
      <c r="A30" s="164"/>
      <c r="B30" s="47" t="s">
        <v>267</v>
      </c>
      <c r="C30" s="48" t="s">
        <v>268</v>
      </c>
    </row>
    <row r="31" spans="1:3" ht="38.25" customHeight="1">
      <c r="A31" s="164"/>
      <c r="B31" s="47" t="s">
        <v>269</v>
      </c>
      <c r="C31" s="48" t="s">
        <v>270</v>
      </c>
    </row>
    <row r="32" spans="1:3" ht="38.25" customHeight="1">
      <c r="A32" s="164"/>
      <c r="B32" s="47" t="s">
        <v>271</v>
      </c>
      <c r="C32" s="48" t="s">
        <v>399</v>
      </c>
    </row>
    <row r="33" spans="1:3" ht="38.25" customHeight="1">
      <c r="A33" s="165"/>
      <c r="B33" s="47" t="s">
        <v>400</v>
      </c>
      <c r="C33" s="48" t="s">
        <v>401</v>
      </c>
    </row>
  </sheetData>
  <mergeCells count="13">
    <mergeCell ref="A26:A33"/>
    <mergeCell ref="A23:A25"/>
    <mergeCell ref="A1:C1"/>
    <mergeCell ref="A2:C2"/>
    <mergeCell ref="B5:B9"/>
    <mergeCell ref="B10:B11"/>
    <mergeCell ref="A5:A14"/>
    <mergeCell ref="A17:A22"/>
    <mergeCell ref="A3:A4"/>
    <mergeCell ref="B3:B4"/>
    <mergeCell ref="C3:C4"/>
    <mergeCell ref="B24:B25"/>
    <mergeCell ref="B12:B14"/>
  </mergeCells>
  <pageMargins left="0.7" right="0.7" top="0.75" bottom="0.75" header="0.3" footer="0.3"/>
  <pageSetup orientation="portrait" horizontalDpi="90" verticalDpi="90" r:id="rId1"/>
</worksheet>
</file>

<file path=xl/worksheets/sheet10.xml><?xml version="1.0" encoding="utf-8"?>
<worksheet xmlns="http://schemas.openxmlformats.org/spreadsheetml/2006/main" xmlns:r="http://schemas.openxmlformats.org/officeDocument/2006/relationships">
  <dimension ref="A1:E11"/>
  <sheetViews>
    <sheetView topLeftCell="A4" workbookViewId="0">
      <selection activeCell="D9" sqref="D9"/>
    </sheetView>
  </sheetViews>
  <sheetFormatPr defaultRowHeight="15"/>
  <cols>
    <col min="1" max="1" width="11.7109375" bestFit="1" customWidth="1"/>
    <col min="2" max="2" width="12.7109375" bestFit="1" customWidth="1"/>
  </cols>
  <sheetData>
    <row r="1" spans="1:5">
      <c r="A1" t="s">
        <v>29</v>
      </c>
      <c r="B1" t="s">
        <v>30</v>
      </c>
      <c r="C1" t="s">
        <v>31</v>
      </c>
      <c r="D1" t="s">
        <v>28</v>
      </c>
    </row>
    <row r="2" spans="1:5">
      <c r="C2" s="7"/>
    </row>
    <row r="3" spans="1:5">
      <c r="C3" s="7"/>
    </row>
    <row r="5" spans="1:5" ht="26.25">
      <c r="A5" s="1" t="s">
        <v>18</v>
      </c>
      <c r="B5" s="1" t="s">
        <v>0</v>
      </c>
      <c r="C5" s="2">
        <v>16</v>
      </c>
      <c r="D5" s="1" t="s">
        <v>2</v>
      </c>
      <c r="E5" s="1"/>
    </row>
    <row r="6" spans="1:5">
      <c r="A6" s="1" t="s">
        <v>17</v>
      </c>
      <c r="B6" s="1" t="s">
        <v>0</v>
      </c>
      <c r="C6" s="2">
        <v>8</v>
      </c>
      <c r="D6" s="1" t="s">
        <v>2</v>
      </c>
      <c r="E6" s="1"/>
    </row>
    <row r="7" spans="1:5">
      <c r="A7" s="1" t="s">
        <v>16</v>
      </c>
      <c r="B7" s="1" t="s">
        <v>0</v>
      </c>
      <c r="C7" s="2">
        <v>16</v>
      </c>
      <c r="D7" s="1" t="s">
        <v>2</v>
      </c>
      <c r="E7" s="1"/>
    </row>
    <row r="9" spans="1:5" ht="26.25">
      <c r="A9" s="1" t="s">
        <v>32</v>
      </c>
      <c r="B9" s="1" t="s">
        <v>3</v>
      </c>
      <c r="C9" s="2">
        <v>2</v>
      </c>
      <c r="D9" s="1" t="s">
        <v>11</v>
      </c>
      <c r="E9" s="1"/>
    </row>
    <row r="10" spans="1:5" ht="26.25">
      <c r="A10" s="1" t="s">
        <v>17</v>
      </c>
      <c r="B10" s="1" t="s">
        <v>3</v>
      </c>
      <c r="C10" s="2">
        <v>2</v>
      </c>
      <c r="D10" s="1" t="s">
        <v>11</v>
      </c>
      <c r="E10" s="1"/>
    </row>
    <row r="11" spans="1:5" ht="26.25">
      <c r="A11" s="1" t="s">
        <v>16</v>
      </c>
      <c r="B11" s="1" t="s">
        <v>3</v>
      </c>
      <c r="C11" s="2">
        <v>4</v>
      </c>
      <c r="D11" s="1" t="s">
        <v>11</v>
      </c>
      <c r="E11" s="1"/>
    </row>
  </sheetData>
  <dataValidations count="2">
    <dataValidation type="list" allowBlank="1" showInputMessage="1" showErrorMessage="1" sqref="D5:E7 D9:E11">
      <formula1>"Knowledge,Skill,Awareness"</formula1>
    </dataValidation>
    <dataValidation type="list" allowBlank="1" showInputMessage="1" showErrorMessage="1" sqref="B5:B7 B9:B11">
      <formula1>"ILT,Elearning,ILT &amp; ELearning,Certification,NA,Blended Learning"</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A1:E15"/>
  <sheetViews>
    <sheetView workbookViewId="0">
      <selection activeCell="I7" sqref="I7"/>
    </sheetView>
  </sheetViews>
  <sheetFormatPr defaultRowHeight="15"/>
  <cols>
    <col min="1" max="1" width="11.7109375" bestFit="1" customWidth="1"/>
    <col min="2" max="2" width="12.7109375" bestFit="1" customWidth="1"/>
  </cols>
  <sheetData>
    <row r="1" spans="1:5">
      <c r="A1" t="s">
        <v>29</v>
      </c>
      <c r="B1" t="s">
        <v>30</v>
      </c>
      <c r="C1" t="s">
        <v>31</v>
      </c>
      <c r="D1" t="s">
        <v>28</v>
      </c>
    </row>
    <row r="2" spans="1:5">
      <c r="C2" s="7"/>
    </row>
    <row r="3" spans="1:5">
      <c r="C3" s="7"/>
    </row>
    <row r="5" spans="1:5" ht="25.5">
      <c r="A5" s="8" t="s">
        <v>18</v>
      </c>
      <c r="B5" s="8" t="s">
        <v>0</v>
      </c>
      <c r="C5" s="8">
        <v>16</v>
      </c>
      <c r="D5" s="8" t="s">
        <v>2</v>
      </c>
      <c r="E5" s="8" t="s">
        <v>2</v>
      </c>
    </row>
    <row r="6" spans="1:5">
      <c r="A6" s="8" t="s">
        <v>17</v>
      </c>
      <c r="B6" s="8" t="s">
        <v>0</v>
      </c>
      <c r="C6" s="8">
        <v>8</v>
      </c>
      <c r="D6" s="8" t="s">
        <v>2</v>
      </c>
      <c r="E6" s="8" t="s">
        <v>2</v>
      </c>
    </row>
    <row r="7" spans="1:5">
      <c r="A7" s="8" t="s">
        <v>16</v>
      </c>
      <c r="B7" s="8" t="s">
        <v>0</v>
      </c>
      <c r="C7" s="8">
        <v>16</v>
      </c>
      <c r="D7" s="8" t="s">
        <v>2</v>
      </c>
      <c r="E7" s="8" t="s">
        <v>2</v>
      </c>
    </row>
    <row r="8" spans="1:5" ht="25.5">
      <c r="A8" s="8" t="s">
        <v>36</v>
      </c>
      <c r="B8" s="8" t="s">
        <v>0</v>
      </c>
      <c r="C8" s="8">
        <v>36</v>
      </c>
      <c r="D8" s="8" t="s">
        <v>2</v>
      </c>
      <c r="E8" s="8" t="s">
        <v>11</v>
      </c>
    </row>
    <row r="9" spans="1:5" ht="25.5">
      <c r="A9" s="8" t="s">
        <v>37</v>
      </c>
      <c r="B9" s="8" t="s">
        <v>0</v>
      </c>
      <c r="C9" s="8">
        <v>20</v>
      </c>
      <c r="D9" s="8" t="s">
        <v>2</v>
      </c>
      <c r="E9" s="8" t="s">
        <v>11</v>
      </c>
    </row>
    <row r="11" spans="1:5" ht="25.5">
      <c r="A11" s="8" t="s">
        <v>32</v>
      </c>
      <c r="B11" s="8" t="s">
        <v>3</v>
      </c>
      <c r="C11" s="8">
        <v>2</v>
      </c>
      <c r="D11" s="8" t="s">
        <v>11</v>
      </c>
      <c r="E11" s="8" t="s">
        <v>11</v>
      </c>
    </row>
    <row r="12" spans="1:5" ht="25.5">
      <c r="A12" s="8" t="s">
        <v>17</v>
      </c>
      <c r="B12" s="8" t="s">
        <v>3</v>
      </c>
      <c r="C12" s="8">
        <v>2</v>
      </c>
      <c r="D12" s="8" t="s">
        <v>11</v>
      </c>
      <c r="E12" s="8" t="s">
        <v>11</v>
      </c>
    </row>
    <row r="13" spans="1:5" ht="25.5">
      <c r="A13" s="8" t="s">
        <v>16</v>
      </c>
      <c r="B13" s="8" t="s">
        <v>3</v>
      </c>
      <c r="C13" s="8">
        <v>4</v>
      </c>
      <c r="D13" s="8" t="s">
        <v>11</v>
      </c>
      <c r="E13" s="8" t="s">
        <v>11</v>
      </c>
    </row>
    <row r="14" spans="1:5" ht="25.5">
      <c r="A14" s="8" t="s">
        <v>36</v>
      </c>
      <c r="B14" s="8" t="s">
        <v>0</v>
      </c>
      <c r="C14" s="8">
        <v>36</v>
      </c>
      <c r="D14" s="8" t="s">
        <v>2</v>
      </c>
      <c r="E14" s="8" t="s">
        <v>11</v>
      </c>
    </row>
    <row r="15" spans="1:5" ht="25.5">
      <c r="A15" s="8" t="s">
        <v>38</v>
      </c>
      <c r="B15" s="8"/>
      <c r="C15" s="8">
        <v>0</v>
      </c>
      <c r="D15" s="8"/>
      <c r="E15" s="8"/>
    </row>
  </sheetData>
  <dataValidations count="2">
    <dataValidation type="list" allowBlank="1" showInputMessage="1" showErrorMessage="1" sqref="D11:E15 D5:E9">
      <formula1>"Knowledge,Skill,Awareness"</formula1>
    </dataValidation>
    <dataValidation type="list" allowBlank="1" showInputMessage="1" showErrorMessage="1" sqref="B11:B15 B5:B9">
      <formula1>"ILT,Elearning,ILT &amp; ELearning,Certification,NA,Blended Learning"</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1" ma:contentTypeDescription="Create a new document." ma:contentTypeScope="" ma:versionID="1f586ebe3c3f9fd0cc042ee1ffe8355b">
  <xsd:schema xmlns:xsd="http://www.w3.org/2001/XMLSchema" xmlns:xs="http://www.w3.org/2001/XMLSchema" xmlns:p="http://schemas.microsoft.com/office/2006/metadata/properties" xmlns:ns2="951c5514-b77c-4532-82d5-a05f2f7d58e2" xmlns:ns3="c6f516c4-2602-422c-aa9a-755893ba4f98" targetNamespace="http://schemas.microsoft.com/office/2006/metadata/properties" ma:root="true" ma:fieldsID="fdf52b1bf596c78152a1b11f279b66d7" ns2:_="" ns3:_="">
    <xsd:import namespace="951c5514-b77c-4532-82d5-a05f2f7d58e2"/>
    <xsd:import namespace="c6f516c4-2602-422c-aa9a-755893ba4f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7511E3-B0C3-4D4E-B279-6EA7B8DC74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FA22E4-9130-4FA1-A10E-5BA97E1FB3A4}">
  <ds:schemaRefs>
    <ds:schemaRef ds:uri="http://schemas.microsoft.com/sharepoint/v3/contenttype/forms"/>
  </ds:schemaRefs>
</ds:datastoreItem>
</file>

<file path=customXml/itemProps3.xml><?xml version="1.0" encoding="utf-8"?>
<ds:datastoreItem xmlns:ds="http://schemas.openxmlformats.org/officeDocument/2006/customXml" ds:itemID="{FDEFCA78-637D-4BCC-83E8-8A0B338DEF21}">
  <ds:schemaRefs>
    <ds:schemaRef ds:uri="http://purl.org/dc/elements/1.1/"/>
    <ds:schemaRef ds:uri="http://schemas.microsoft.com/office/2006/documentManagement/types"/>
    <ds:schemaRef ds:uri="http://schemas.microsoft.com/office/2006/metadata/properties"/>
    <ds:schemaRef ds:uri="http://purl.org/dc/dcmitype/"/>
    <ds:schemaRef ds:uri="http://www.w3.org/XML/1998/namespace"/>
    <ds:schemaRef ds:uri="http://purl.org/dc/terms/"/>
    <ds:schemaRef ds:uri="eac52b12-2228-488c-9d59-8a93d308b64e"/>
    <ds:schemaRef ds:uri="http://schemas.microsoft.com/office/infopath/2007/PartnerControls"/>
    <ds:schemaRef ds:uri="http://schemas.openxmlformats.org/package/2006/metadata/core-properties"/>
    <ds:schemaRef ds:uri="951c5514-b77c-4532-82d5-a05f2f7d58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About the Curriculum</vt:lpstr>
      <vt:lpstr>Summary</vt:lpstr>
      <vt:lpstr>ModuleList</vt:lpstr>
      <vt:lpstr>Performance Outcomes</vt:lpstr>
      <vt:lpstr>Skill Framework</vt:lpstr>
      <vt:lpstr>Stage 1-Scope</vt:lpstr>
      <vt:lpstr>Stage 2-Scope</vt:lpstr>
      <vt:lpstr>Stage3-Scope</vt:lpstr>
      <vt:lpstr>Stage 4-Scope</vt:lpstr>
      <vt:lpstr>JavaReference</vt:lpstr>
      <vt:lpstr>DotnetReference (2)</vt:lpstr>
      <vt:lpstr>CleintSide</vt:lpstr>
      <vt:lpstr>ServerSide</vt:lpstr>
    </vt:vector>
  </TitlesOfParts>
  <Company>Cognizant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Vilas</cp:lastModifiedBy>
  <dcterms:created xsi:type="dcterms:W3CDTF">2019-03-29T06:01:16Z</dcterms:created>
  <dcterms:modified xsi:type="dcterms:W3CDTF">2021-04-10T11:37:57Z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ies>
</file>